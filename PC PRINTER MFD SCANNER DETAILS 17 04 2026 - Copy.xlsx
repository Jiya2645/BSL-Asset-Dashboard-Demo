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3" activeTab="3"/>
  </bookViews>
  <sheets>
    <sheet name="PC DETAILS" sheetId="6" r:id="rId1"/>
    <sheet name="PRINTER DETAIL" sheetId="15" r:id="rId2"/>
    <sheet name="MFD DETAIL" sheetId="16" r:id="rId3"/>
    <sheet name="SCANNER DETAILS" sheetId="17" r:id="rId4"/>
  </sheets>
  <definedNames>
    <definedName name="_xlnm._FilterDatabase" localSheetId="0" hidden="1">'PC DETAILS'!$B$3:$AV$126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<sst xmlns="http://schemas.openxmlformats.org/spreadsheetml/2006/main" count="726" uniqueCount="239">
  <si>
    <t>PC DISTRIBUTION LIST DEPARTMENT-WISE</t>
  </si>
  <si>
    <t>DEPTT.</t>
  </si>
  <si>
    <t>YR-2012</t>
  </si>
  <si>
    <t>YR-2014</t>
  </si>
  <si>
    <t>YR-2017</t>
  </si>
  <si>
    <t>YR-2019</t>
  </si>
  <si>
    <t>YR-2021</t>
  </si>
  <si>
    <t>YR-2022</t>
  </si>
  <si>
    <t>YR-2023</t>
  </si>
  <si>
    <t>YR-2024</t>
  </si>
  <si>
    <t>YR-2025</t>
  </si>
  <si>
    <t>Grand Total</t>
  </si>
  <si>
    <t>LOT_00001</t>
  </si>
  <si>
    <t>LOT_00002</t>
  </si>
  <si>
    <t>LOT_00003</t>
  </si>
  <si>
    <t>LOT_00004</t>
  </si>
  <si>
    <t>LOT_00005</t>
  </si>
  <si>
    <t>LOT_00006</t>
  </si>
  <si>
    <t>LOT_00007</t>
  </si>
  <si>
    <t>LOT_00008</t>
  </si>
  <si>
    <t>LOT_00009</t>
  </si>
  <si>
    <t>LOT_00010</t>
  </si>
  <si>
    <t>LOT_00011</t>
  </si>
  <si>
    <t>LOT_00012</t>
  </si>
  <si>
    <t>LOT_00013</t>
  </si>
  <si>
    <t>LOT_00014</t>
  </si>
  <si>
    <t>LOT_00015</t>
  </si>
  <si>
    <t>TOTAL</t>
  </si>
  <si>
    <t>HP 8200</t>
  </si>
  <si>
    <t>T</t>
  </si>
  <si>
    <t>NT</t>
  </si>
  <si>
    <t>ACER Q77</t>
  </si>
  <si>
    <t>ACER Q87</t>
  </si>
  <si>
    <t>ACER 4660G</t>
  </si>
  <si>
    <t>ACER 2670G</t>
  </si>
  <si>
    <t>HLBS AIO N-24</t>
  </si>
  <si>
    <t>HLBS CM44</t>
  </si>
  <si>
    <t>ACER 2690G</t>
  </si>
  <si>
    <t>ACER AIO Z6694G</t>
  </si>
  <si>
    <t>ACER VERITON</t>
  </si>
  <si>
    <t>HP</t>
  </si>
  <si>
    <t>ACER X4240G - AMD5</t>
  </si>
  <si>
    <t>ACER X4240G - AMD7</t>
  </si>
  <si>
    <t>AVIATION</t>
  </si>
  <si>
    <t>BLAST FURNACE</t>
  </si>
  <si>
    <t>BUSINESS EXCELLENCE</t>
  </si>
  <si>
    <t>C&amp;A</t>
  </si>
  <si>
    <t>C&amp;IT</t>
  </si>
  <si>
    <t>CGM ELECTRICAL MAINTENANCE</t>
  </si>
  <si>
    <t>CAPITAL REPAIR ( E )</t>
  </si>
  <si>
    <t>CGM ELE. MAINTENANCE</t>
  </si>
  <si>
    <t>ERS</t>
  </si>
  <si>
    <t>ETB</t>
  </si>
  <si>
    <t>ETL</t>
  </si>
  <si>
    <t>SPC - E</t>
  </si>
  <si>
    <t>GEN. MAINT. ( E )</t>
  </si>
  <si>
    <t>HM ( E )</t>
  </si>
  <si>
    <t>CGM ELECTRICAL MAINTENANCE TOTAL</t>
  </si>
  <si>
    <t>CGM  CED</t>
  </si>
  <si>
    <t>CED</t>
  </si>
  <si>
    <t>SIGS</t>
  </si>
  <si>
    <t>CGM  CED TOTAL</t>
  </si>
  <si>
    <t>CGM SERVICES</t>
  </si>
  <si>
    <t>CGM - SERVICES</t>
  </si>
  <si>
    <t>IED</t>
  </si>
  <si>
    <t>MRD</t>
  </si>
  <si>
    <t>COST CONTROL</t>
  </si>
  <si>
    <t>CGM SERVICES TOTAL</t>
  </si>
  <si>
    <t>CGM MAINTENANCE</t>
  </si>
  <si>
    <t>SPC - M</t>
  </si>
  <si>
    <t>CGM MAINTENANCE TOTAL</t>
  </si>
  <si>
    <t>CGM SHOPS &amp; FOUNDARY</t>
  </si>
  <si>
    <t>FORGE SHOP</t>
  </si>
  <si>
    <t>`</t>
  </si>
  <si>
    <t>IMF</t>
  </si>
  <si>
    <t>MACHINE SHOP</t>
  </si>
  <si>
    <t>PFRS</t>
  </si>
  <si>
    <t>PPS</t>
  </si>
  <si>
    <t>RR STRUCTURAL</t>
  </si>
  <si>
    <t>ICF</t>
  </si>
  <si>
    <t>STEEL FOUNDRY</t>
  </si>
  <si>
    <t>STRL. SHOP</t>
  </si>
  <si>
    <t>CISF</t>
  </si>
  <si>
    <t>CO&amp;CC</t>
  </si>
  <si>
    <t>CONTRACT CELL - NW</t>
  </si>
  <si>
    <t>CONTRACT CELL - W</t>
  </si>
  <si>
    <t>CRM I&amp;II</t>
  </si>
  <si>
    <t>CRM III</t>
  </si>
  <si>
    <t>CGM MECHANICAL MAINTENANCE</t>
  </si>
  <si>
    <t>CGM(MAINT-) MECHANICAL</t>
  </si>
  <si>
    <t>CAPITAL REPAIR ( M )</t>
  </si>
  <si>
    <t>CTS</t>
  </si>
  <si>
    <t>LUBRICATION CELL - CTS</t>
  </si>
  <si>
    <t>MTB - CTS</t>
  </si>
  <si>
    <t>S &amp; C - CTS</t>
  </si>
  <si>
    <t>GEN. MAINT. ( M )</t>
  </si>
  <si>
    <t>HM (M )</t>
  </si>
  <si>
    <t>OG &amp; CBRS</t>
  </si>
  <si>
    <t>CGM MECH. TOTAL</t>
  </si>
  <si>
    <t>CGM POWER FACILITY</t>
  </si>
  <si>
    <t>DNW</t>
  </si>
  <si>
    <t>TBS</t>
  </si>
  <si>
    <t>PEB</t>
  </si>
  <si>
    <t>CGM POWER FACILITY TOTAL</t>
  </si>
  <si>
    <t>CGM ECS</t>
  </si>
  <si>
    <t>ECS</t>
  </si>
  <si>
    <t>CGM I&amp;A</t>
  </si>
  <si>
    <t>ELECT- &amp; TELECOM</t>
  </si>
  <si>
    <t>I&amp;A</t>
  </si>
  <si>
    <t>CGM I&amp;A TOTAL</t>
  </si>
  <si>
    <t>EMD</t>
  </si>
  <si>
    <t>F&amp;A</t>
  </si>
  <si>
    <t>INTERNAL AUDIT</t>
  </si>
  <si>
    <t>F&amp;A TOTAL</t>
  </si>
  <si>
    <t>D/I OFFICE</t>
  </si>
  <si>
    <t>CGM HR</t>
  </si>
  <si>
    <t>HR</t>
  </si>
  <si>
    <t>CSR</t>
  </si>
  <si>
    <t>PRO</t>
  </si>
  <si>
    <t>O&amp;M</t>
  </si>
  <si>
    <t>MGMT- SERVICES</t>
  </si>
  <si>
    <t>INTELLIGENCE</t>
  </si>
  <si>
    <t>CGM HR TOTAL</t>
  </si>
  <si>
    <t>HR L&amp;D</t>
  </si>
  <si>
    <t>HRCF</t>
  </si>
  <si>
    <t>HSM</t>
  </si>
  <si>
    <t>L&amp;A</t>
  </si>
  <si>
    <t>LAW</t>
  </si>
  <si>
    <t>M&amp;HS</t>
  </si>
  <si>
    <t>MM</t>
  </si>
  <si>
    <t>MM-PURCHASE</t>
  </si>
  <si>
    <t>I&amp;P</t>
  </si>
  <si>
    <t>MM TOTAL</t>
  </si>
  <si>
    <t>PPC &amp; SC</t>
  </si>
  <si>
    <t>PROJECT</t>
  </si>
  <si>
    <t>RCL</t>
  </si>
  <si>
    <t>CGM REFRACTORY</t>
  </si>
  <si>
    <t>RED</t>
  </si>
  <si>
    <t>RMP</t>
  </si>
  <si>
    <t>RPC</t>
  </si>
  <si>
    <t>CGM REFRACTORY TOTAL</t>
  </si>
  <si>
    <t>RGBS</t>
  </si>
  <si>
    <t>RMHP</t>
  </si>
  <si>
    <t>SAFETY &amp; FIRE</t>
  </si>
  <si>
    <t>SINTER PLANT</t>
  </si>
  <si>
    <t>SLABBING MIL</t>
  </si>
  <si>
    <t>SMS I</t>
  </si>
  <si>
    <t>SMS II &amp; CCS</t>
  </si>
  <si>
    <t>CGM TOWN ADMIN.</t>
  </si>
  <si>
    <t>TA</t>
  </si>
  <si>
    <t>SECURITY</t>
  </si>
  <si>
    <t>EDUCATION</t>
  </si>
  <si>
    <t>CGM TOWN ADMIN. TOTAL</t>
  </si>
  <si>
    <t>TECHNICAL CELL</t>
  </si>
  <si>
    <t>PLANT DESIGN</t>
  </si>
  <si>
    <t>TECHNICAL CELL TOTAL</t>
  </si>
  <si>
    <t>CGM TRAFFIC</t>
  </si>
  <si>
    <t>TRAFFIC</t>
  </si>
  <si>
    <t>RAW MATERIAL</t>
  </si>
  <si>
    <t>CGM TRAFFIC TOTAL</t>
  </si>
  <si>
    <t>CGM UTILITIES</t>
  </si>
  <si>
    <t xml:space="preserve">GAS UTILITIES  </t>
  </si>
  <si>
    <t>ACVS</t>
  </si>
  <si>
    <t>WMD</t>
  </si>
  <si>
    <t xml:space="preserve">CGM UTILITIES TOTAL </t>
  </si>
  <si>
    <t>ED - W</t>
  </si>
  <si>
    <t>VIGILANCE</t>
  </si>
  <si>
    <t>WORK ADMIN</t>
  </si>
  <si>
    <t>MINES</t>
  </si>
  <si>
    <t>MINES - JGOM</t>
  </si>
  <si>
    <t>MINES - KIRUBURU</t>
  </si>
  <si>
    <t>MINE - MIOM</t>
  </si>
  <si>
    <t>MINE - CHIRIA</t>
  </si>
  <si>
    <t>MINE - GUA</t>
  </si>
  <si>
    <t>MINES TOTAL</t>
  </si>
  <si>
    <t>COLLIERS</t>
  </si>
  <si>
    <t>CHAS NALA</t>
  </si>
  <si>
    <t>CCSO</t>
  </si>
  <si>
    <t>C&amp; IT Store</t>
  </si>
  <si>
    <t>PRINTER DISTRIBUTION LIST DEPARTMENT-WISE</t>
  </si>
  <si>
    <t>PRN_00001</t>
  </si>
  <si>
    <t>PRN_00002</t>
  </si>
  <si>
    <t>PRN_00003</t>
  </si>
  <si>
    <t>PRN_00004</t>
  </si>
  <si>
    <t>PRN_00005</t>
  </si>
  <si>
    <t>PRN_00006</t>
  </si>
  <si>
    <t>PRN_00007</t>
  </si>
  <si>
    <t>HP CP 5225</t>
  </si>
  <si>
    <t>HP 1020</t>
  </si>
  <si>
    <t>SAMSUNG 2161</t>
  </si>
  <si>
    <t>HP 1020PLUS</t>
  </si>
  <si>
    <t>EPSON M1170</t>
  </si>
  <si>
    <t>EPSON L1300</t>
  </si>
  <si>
    <t>MFD DISTRIBUTION LIST DEPARTMENT-WISE</t>
  </si>
  <si>
    <t>MFD_00001</t>
  </si>
  <si>
    <t>MFD_00002</t>
  </si>
  <si>
    <t>MFD_00003</t>
  </si>
  <si>
    <t>MFD_00004</t>
  </si>
  <si>
    <t>MFD_00005</t>
  </si>
  <si>
    <t>MFD_00006</t>
  </si>
  <si>
    <t>MFD_00007</t>
  </si>
  <si>
    <t>MFD_00008</t>
  </si>
  <si>
    <t>MFD_00009</t>
  </si>
  <si>
    <t>MFD_00010</t>
  </si>
  <si>
    <t>MFD_00011</t>
  </si>
  <si>
    <t>MFD_00012</t>
  </si>
  <si>
    <t>MFD_00013</t>
  </si>
  <si>
    <t>MFD_00014</t>
  </si>
  <si>
    <t>HP 6500</t>
  </si>
  <si>
    <t>HP 8600</t>
  </si>
  <si>
    <t>SAMSUNG M2876</t>
  </si>
  <si>
    <t>HP M476DW</t>
  </si>
  <si>
    <t>HP 8610</t>
  </si>
  <si>
    <t>EPSON L6170</t>
  </si>
  <si>
    <t>EPSON M3170</t>
  </si>
  <si>
    <t>EPSON L6460</t>
  </si>
  <si>
    <t>EPSON WF-C879R</t>
  </si>
  <si>
    <t>HP M183FW</t>
  </si>
  <si>
    <t>CANON L6070</t>
  </si>
  <si>
    <t>HP T1700dr44</t>
  </si>
  <si>
    <t>SCANNER DISTRIBUTION LIST DEPARTMENT-WISE</t>
  </si>
  <si>
    <t>SCR_00001</t>
  </si>
  <si>
    <t>SCR_00002</t>
  </si>
  <si>
    <t>SCR_00003</t>
  </si>
  <si>
    <t>SCR_00004</t>
  </si>
  <si>
    <t>SCR_00005</t>
  </si>
  <si>
    <t>SCR_00006</t>
  </si>
  <si>
    <t>SCR_00007</t>
  </si>
  <si>
    <t>SCR_00008</t>
  </si>
  <si>
    <t>SCR_00009</t>
  </si>
  <si>
    <t xml:space="preserve">HP </t>
  </si>
  <si>
    <t>CANON LIDE</t>
  </si>
  <si>
    <t>HP 7500</t>
  </si>
  <si>
    <t>EPSON V600</t>
  </si>
  <si>
    <t>HP N9120</t>
  </si>
  <si>
    <t>AVISION</t>
  </si>
  <si>
    <t>EPSON ds530</t>
  </si>
  <si>
    <t>EPSON V39</t>
  </si>
  <si>
    <t>HP SCANJET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</si>
</sst>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CB82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34" applyNumberFormat="0" applyAlignment="0" applyProtection="0">
      <alignment vertical="center"/>
    </xf>
    <xf numFmtId="0" fontId="18" fillId="11" borderId="35" applyNumberFormat="0" applyAlignment="0" applyProtection="0">
      <alignment vertical="center"/>
    </xf>
    <xf numFmtId="0" fontId="19" fillId="11" borderId="34" applyNumberFormat="0" applyAlignment="0" applyProtection="0">
      <alignment vertical="center"/>
    </xf>
    <xf numFmtId="0" fontId="20" fillId="12" borderId="36" applyNumberFormat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/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/>
    <xf numFmtId="0" fontId="3" fillId="0" borderId="0" xfId="22" applyFont="1" applyFill="1" applyBorder="1"/>
    <xf numFmtId="0" fontId="3" fillId="0" borderId="0" xfId="22" applyFont="1" applyFill="1" applyBorder="1" applyAlignment="1">
      <alignment horizontal="center"/>
    </xf>
    <xf numFmtId="0" fontId="3" fillId="0" borderId="3" xfId="22" applyFont="1" applyFill="1" applyBorder="1" applyAlignment="1">
      <alignment horizontal="center"/>
    </xf>
    <xf numFmtId="0" fontId="2" fillId="0" borderId="4" xfId="0" applyFont="1" applyBorder="1"/>
    <xf numFmtId="0" fontId="3" fillId="0" borderId="5" xfId="22" applyFont="1" applyFill="1" applyBorder="1"/>
    <xf numFmtId="0" fontId="3" fillId="0" borderId="5" xfId="22" applyFont="1" applyFill="1" applyBorder="1" applyAlignment="1">
      <alignment horizontal="center"/>
    </xf>
    <xf numFmtId="0" fontId="3" fillId="0" borderId="6" xfId="22" applyFont="1" applyFill="1" applyBorder="1" applyAlignment="1">
      <alignment horizontal="center"/>
    </xf>
    <xf numFmtId="0" fontId="2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5" fillId="2" borderId="7" xfId="0" applyFont="1" applyFill="1" applyBorder="1"/>
    <xf numFmtId="0" fontId="2" fillId="2" borderId="6" xfId="0" applyFont="1" applyFill="1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6" fillId="0" borderId="8" xfId="0" applyFont="1" applyBorder="1" applyAlignment="1">
      <alignment vertical="center"/>
    </xf>
    <xf numFmtId="0" fontId="0" fillId="0" borderId="9" xfId="0" applyBorder="1"/>
    <xf numFmtId="0" fontId="6" fillId="0" borderId="10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4" fillId="3" borderId="12" xfId="0" applyFont="1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4" fillId="3" borderId="16" xfId="0" applyFont="1" applyFill="1" applyBorder="1"/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0" fillId="0" borderId="5" xfId="0" applyBorder="1"/>
    <xf numFmtId="0" fontId="6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0" fillId="0" borderId="18" xfId="0" applyBorder="1"/>
    <xf numFmtId="0" fontId="8" fillId="4" borderId="8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0" fillId="0" borderId="19" xfId="0" applyBorder="1"/>
    <xf numFmtId="0" fontId="6" fillId="0" borderId="8" xfId="0" applyFont="1" applyBorder="1" applyAlignment="1">
      <alignment horizontal="left" vertical="top"/>
    </xf>
    <xf numFmtId="0" fontId="0" fillId="0" borderId="9" xfId="0" applyBorder="1" applyAlignment="1">
      <alignment vertical="center"/>
    </xf>
    <xf numFmtId="0" fontId="6" fillId="0" borderId="10" xfId="0" applyFont="1" applyBorder="1" applyAlignment="1">
      <alignment horizontal="left" vertical="top"/>
    </xf>
    <xf numFmtId="0" fontId="0" fillId="0" borderId="7" xfId="0" applyBorder="1" applyAlignment="1">
      <alignment vertical="center"/>
    </xf>
    <xf numFmtId="0" fontId="6" fillId="0" borderId="20" xfId="0" applyFont="1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7" xfId="0" applyFont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center"/>
    </xf>
    <xf numFmtId="0" fontId="6" fillId="0" borderId="22" xfId="0" applyFont="1" applyBorder="1"/>
    <xf numFmtId="0" fontId="6" fillId="3" borderId="23" xfId="0" applyFont="1" applyFill="1" applyBorder="1"/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26" xfId="0" applyFont="1" applyFill="1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3" fillId="6" borderId="5" xfId="22" applyFont="1" applyBorder="1"/>
    <xf numFmtId="0" fontId="3" fillId="6" borderId="5" xfId="22" applyFont="1" applyBorder="1" applyAlignment="1">
      <alignment horizontal="center"/>
    </xf>
    <xf numFmtId="0" fontId="3" fillId="6" borderId="6" xfId="22" applyFont="1" applyBorder="1" applyAlignment="1">
      <alignment horizontal="center"/>
    </xf>
    <xf numFmtId="0" fontId="2" fillId="7" borderId="5" xfId="0" applyFont="1" applyFill="1" applyBorder="1"/>
    <xf numFmtId="0" fontId="4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0" borderId="0" xfId="0" applyFont="1"/>
    <xf numFmtId="0" fontId="0" fillId="0" borderId="27" xfId="0" applyBorder="1" applyAlignment="1">
      <alignment horizontal="center"/>
    </xf>
    <xf numFmtId="0" fontId="3" fillId="8" borderId="5" xfId="22" applyFont="1" applyFill="1" applyBorder="1"/>
    <xf numFmtId="0" fontId="3" fillId="8" borderId="5" xfId="22" applyFont="1" applyFill="1" applyBorder="1" applyAlignment="1">
      <alignment horizontal="center"/>
    </xf>
    <xf numFmtId="0" fontId="3" fillId="8" borderId="17" xfId="22" applyFont="1" applyFill="1" applyBorder="1" applyAlignment="1">
      <alignment horizontal="center"/>
    </xf>
    <xf numFmtId="0" fontId="2" fillId="8" borderId="5" xfId="0" applyFont="1" applyFill="1" applyBorder="1"/>
    <xf numFmtId="0" fontId="4" fillId="8" borderId="5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6" fillId="4" borderId="1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FFFF"/>
      <color rgb="00CCECFF"/>
      <color rgb="00CCCCFF"/>
      <color rgb="00FF99FF"/>
      <color rgb="002CB8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26"/>
  <sheetViews>
    <sheetView workbookViewId="0">
      <pane ySplit="4" topLeftCell="A8" activePane="bottomLeft" state="frozen"/>
      <selection/>
      <selection pane="bottomLeft" activeCell="A1" sqref="A1:AV1"/>
    </sheetView>
  </sheetViews>
  <sheetFormatPr defaultColWidth="9" defaultRowHeight="14.5"/>
  <cols>
    <col min="1" max="1" width="40.2818181818182" customWidth="1"/>
    <col min="2" max="2" width="26" customWidth="1"/>
    <col min="3" max="3" width="14.8545454545455" style="57" customWidth="1"/>
    <col min="4" max="4" width="3" style="57" customWidth="1"/>
    <col min="5" max="5" width="3.70909090909091" style="57" customWidth="1"/>
    <col min="6" max="6" width="14.8545454545455" style="57" customWidth="1"/>
    <col min="7" max="7" width="3" style="57" customWidth="1"/>
    <col min="8" max="8" width="3.70909090909091" style="57" customWidth="1"/>
    <col min="9" max="9" width="14.8545454545455" style="57" customWidth="1"/>
    <col min="10" max="10" width="2.13636363636364" style="57" customWidth="1"/>
    <col min="11" max="11" width="3.70909090909091" style="57" customWidth="1"/>
    <col min="12" max="12" width="14.8545454545455" style="57" customWidth="1"/>
    <col min="13" max="13" width="3" style="57" customWidth="1"/>
    <col min="14" max="14" width="3.70909090909091" style="57" customWidth="1"/>
    <col min="15" max="15" width="14.8545454545455" style="57" customWidth="1"/>
    <col min="16" max="16" width="2.13636363636364" style="57" customWidth="1"/>
    <col min="17" max="17" width="3.70909090909091" style="57" customWidth="1"/>
    <col min="18" max="18" width="15.2818181818182" style="57" customWidth="1"/>
    <col min="19" max="19" width="2.13636363636364" style="57" customWidth="1"/>
    <col min="20" max="20" width="3.70909090909091" style="57" customWidth="1"/>
    <col min="21" max="21" width="14.8545454545455" style="57" customWidth="1"/>
    <col min="22" max="22" width="2.13636363636364" style="57" customWidth="1"/>
    <col min="23" max="23" width="3.70909090909091" style="57" customWidth="1"/>
    <col min="24" max="24" width="14.8545454545455" style="57" customWidth="1"/>
    <col min="25" max="25" width="3" style="57" customWidth="1"/>
    <col min="26" max="26" width="3.70909090909091" style="57" customWidth="1"/>
    <col min="27" max="27" width="14.8545454545455" style="57" customWidth="1"/>
    <col min="28" max="28" width="2.13636363636364" style="57" customWidth="1"/>
    <col min="29" max="29" width="3.70909090909091" style="57" customWidth="1"/>
    <col min="30" max="30" width="15.2818181818182" style="57" customWidth="1"/>
    <col min="31" max="31" width="2.13636363636364" style="57" customWidth="1"/>
    <col min="32" max="32" width="3.70909090909091" style="57" customWidth="1"/>
    <col min="33" max="33" width="18.1363636363636" style="57" customWidth="1"/>
    <col min="34" max="34" width="3" style="57" customWidth="1"/>
    <col min="35" max="35" width="3.70909090909091" style="57" customWidth="1"/>
    <col min="36" max="36" width="15.2818181818182" style="57" customWidth="1"/>
    <col min="37" max="37" width="2.13636363636364" style="57" customWidth="1"/>
    <col min="38" max="38" width="3.70909090909091" style="57" customWidth="1"/>
    <col min="39" max="39" width="14.8545454545455" style="57" customWidth="1"/>
    <col min="40" max="40" width="2.13636363636364" style="57" customWidth="1"/>
    <col min="41" max="41" width="3.70909090909091" style="57" customWidth="1"/>
    <col min="42" max="42" width="22.1363636363636" style="57" customWidth="1"/>
    <col min="43" max="43" width="3" style="57" customWidth="1"/>
    <col min="44" max="44" width="3.70909090909091" style="57" customWidth="1"/>
    <col min="45" max="45" width="22.1363636363636" style="57" customWidth="1"/>
    <col min="46" max="46" width="3" style="57" customWidth="1"/>
    <col min="47" max="47" width="3.70909090909091" style="57" customWidth="1"/>
    <col min="48" max="48" width="11.8545454545455" style="57" customWidth="1"/>
  </cols>
  <sheetData>
    <row r="1" ht="36.75" spans="1:4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</row>
    <row r="2" ht="15.75" customHeight="1" spans="1:48">
      <c r="A2" s="58"/>
      <c r="B2" s="59" t="s">
        <v>1</v>
      </c>
      <c r="C2" s="60" t="s">
        <v>2</v>
      </c>
      <c r="D2" s="60"/>
      <c r="E2" s="60"/>
      <c r="F2" s="60" t="s">
        <v>3</v>
      </c>
      <c r="G2" s="60"/>
      <c r="H2" s="60"/>
      <c r="I2" s="60" t="s">
        <v>4</v>
      </c>
      <c r="J2" s="60"/>
      <c r="K2" s="60"/>
      <c r="L2" s="60" t="s">
        <v>5</v>
      </c>
      <c r="M2" s="60"/>
      <c r="N2" s="60"/>
      <c r="O2" s="60" t="s">
        <v>6</v>
      </c>
      <c r="P2" s="60"/>
      <c r="Q2" s="60"/>
      <c r="R2" s="60" t="s">
        <v>6</v>
      </c>
      <c r="S2" s="60"/>
      <c r="T2" s="60"/>
      <c r="U2" s="60" t="s">
        <v>7</v>
      </c>
      <c r="V2" s="60"/>
      <c r="W2" s="60"/>
      <c r="X2" s="60" t="s">
        <v>8</v>
      </c>
      <c r="Y2" s="60"/>
      <c r="Z2" s="60"/>
      <c r="AA2" s="60" t="s">
        <v>8</v>
      </c>
      <c r="AB2" s="60"/>
      <c r="AC2" s="60"/>
      <c r="AD2" s="60" t="s">
        <v>8</v>
      </c>
      <c r="AE2" s="60"/>
      <c r="AF2" s="60"/>
      <c r="AG2" s="60" t="s">
        <v>9</v>
      </c>
      <c r="AH2" s="60"/>
      <c r="AI2" s="60"/>
      <c r="AJ2" s="60" t="s">
        <v>9</v>
      </c>
      <c r="AK2" s="60"/>
      <c r="AL2" s="60"/>
      <c r="AM2" s="60" t="s">
        <v>9</v>
      </c>
      <c r="AN2" s="60"/>
      <c r="AO2" s="60"/>
      <c r="AP2" s="60" t="s">
        <v>10</v>
      </c>
      <c r="AQ2" s="60"/>
      <c r="AR2" s="60"/>
      <c r="AS2" s="60" t="s">
        <v>10</v>
      </c>
      <c r="AT2" s="60"/>
      <c r="AU2" s="60"/>
      <c r="AV2" s="61" t="s">
        <v>11</v>
      </c>
    </row>
    <row r="3" ht="15.5" spans="1:48">
      <c r="A3" s="7"/>
      <c r="B3" s="73" t="s">
        <v>1</v>
      </c>
      <c r="C3" s="74" t="s">
        <v>12</v>
      </c>
      <c r="D3" s="74"/>
      <c r="E3" s="74"/>
      <c r="F3" s="74" t="s">
        <v>13</v>
      </c>
      <c r="G3" s="74"/>
      <c r="H3" s="74"/>
      <c r="I3" s="74" t="s">
        <v>14</v>
      </c>
      <c r="J3" s="74"/>
      <c r="K3" s="74"/>
      <c r="L3" s="74" t="s">
        <v>15</v>
      </c>
      <c r="M3" s="74"/>
      <c r="N3" s="74"/>
      <c r="O3" s="74" t="s">
        <v>16</v>
      </c>
      <c r="P3" s="74"/>
      <c r="Q3" s="74"/>
      <c r="R3" s="74" t="s">
        <v>17</v>
      </c>
      <c r="S3" s="74"/>
      <c r="T3" s="74"/>
      <c r="U3" s="74" t="s">
        <v>18</v>
      </c>
      <c r="V3" s="74"/>
      <c r="W3" s="74"/>
      <c r="X3" s="74" t="s">
        <v>19</v>
      </c>
      <c r="Y3" s="74"/>
      <c r="Z3" s="74"/>
      <c r="AA3" s="74" t="s">
        <v>20</v>
      </c>
      <c r="AB3" s="74"/>
      <c r="AC3" s="74"/>
      <c r="AD3" s="74" t="s">
        <v>21</v>
      </c>
      <c r="AE3" s="74"/>
      <c r="AF3" s="74"/>
      <c r="AG3" s="74" t="s">
        <v>22</v>
      </c>
      <c r="AH3" s="74"/>
      <c r="AI3" s="74"/>
      <c r="AJ3" s="74" t="s">
        <v>23</v>
      </c>
      <c r="AK3" s="74"/>
      <c r="AL3" s="74"/>
      <c r="AM3" s="74" t="s">
        <v>24</v>
      </c>
      <c r="AN3" s="74"/>
      <c r="AO3" s="74"/>
      <c r="AP3" s="74" t="s">
        <v>25</v>
      </c>
      <c r="AQ3" s="74"/>
      <c r="AR3" s="74"/>
      <c r="AS3" s="74" t="s">
        <v>26</v>
      </c>
      <c r="AT3" s="74"/>
      <c r="AU3" s="74"/>
      <c r="AV3" s="75" t="s">
        <v>27</v>
      </c>
    </row>
    <row r="4" ht="15.5" spans="1:48">
      <c r="A4" s="7"/>
      <c r="B4" s="76"/>
      <c r="C4" s="77" t="s">
        <v>28</v>
      </c>
      <c r="D4" s="77" t="s">
        <v>29</v>
      </c>
      <c r="E4" s="77" t="s">
        <v>30</v>
      </c>
      <c r="F4" s="77" t="s">
        <v>31</v>
      </c>
      <c r="G4" s="77" t="s">
        <v>29</v>
      </c>
      <c r="H4" s="77" t="s">
        <v>30</v>
      </c>
      <c r="I4" s="77" t="s">
        <v>32</v>
      </c>
      <c r="J4" s="77" t="s">
        <v>29</v>
      </c>
      <c r="K4" s="77" t="s">
        <v>30</v>
      </c>
      <c r="L4" s="77" t="s">
        <v>33</v>
      </c>
      <c r="M4" s="77" t="s">
        <v>29</v>
      </c>
      <c r="N4" s="77" t="s">
        <v>30</v>
      </c>
      <c r="O4" s="77" t="s">
        <v>34</v>
      </c>
      <c r="P4" s="77" t="s">
        <v>29</v>
      </c>
      <c r="Q4" s="77" t="s">
        <v>30</v>
      </c>
      <c r="R4" s="77" t="s">
        <v>35</v>
      </c>
      <c r="S4" s="77" t="s">
        <v>29</v>
      </c>
      <c r="T4" s="77" t="s">
        <v>30</v>
      </c>
      <c r="U4" s="77" t="s">
        <v>36</v>
      </c>
      <c r="V4" s="77" t="s">
        <v>29</v>
      </c>
      <c r="W4" s="77" t="s">
        <v>30</v>
      </c>
      <c r="X4" s="77" t="s">
        <v>37</v>
      </c>
      <c r="Y4" s="77" t="s">
        <v>29</v>
      </c>
      <c r="Z4" s="77" t="s">
        <v>30</v>
      </c>
      <c r="AA4" s="77" t="s">
        <v>37</v>
      </c>
      <c r="AB4" s="77" t="s">
        <v>29</v>
      </c>
      <c r="AC4" s="77" t="s">
        <v>30</v>
      </c>
      <c r="AD4" s="77" t="s">
        <v>35</v>
      </c>
      <c r="AE4" s="77" t="s">
        <v>29</v>
      </c>
      <c r="AF4" s="77" t="s">
        <v>30</v>
      </c>
      <c r="AG4" s="77" t="s">
        <v>38</v>
      </c>
      <c r="AH4" s="77" t="s">
        <v>29</v>
      </c>
      <c r="AI4" s="77" t="s">
        <v>30</v>
      </c>
      <c r="AJ4" s="77" t="s">
        <v>39</v>
      </c>
      <c r="AK4" s="77" t="s">
        <v>29</v>
      </c>
      <c r="AL4" s="77" t="s">
        <v>30</v>
      </c>
      <c r="AM4" s="77" t="s">
        <v>40</v>
      </c>
      <c r="AN4" s="77" t="s">
        <v>29</v>
      </c>
      <c r="AO4" s="77" t="s">
        <v>30</v>
      </c>
      <c r="AP4" s="77" t="s">
        <v>41</v>
      </c>
      <c r="AQ4" s="77" t="s">
        <v>29</v>
      </c>
      <c r="AR4" s="77" t="s">
        <v>30</v>
      </c>
      <c r="AS4" s="77" t="s">
        <v>42</v>
      </c>
      <c r="AT4" s="77" t="s">
        <v>29</v>
      </c>
      <c r="AU4" s="77" t="s">
        <v>30</v>
      </c>
      <c r="AV4" s="78"/>
    </row>
    <row r="5" spans="1:48">
      <c r="A5" s="15"/>
      <c r="B5" s="16" t="s">
        <v>43</v>
      </c>
      <c r="C5" s="17">
        <v>3</v>
      </c>
      <c r="D5" s="17">
        <v>1</v>
      </c>
      <c r="E5" s="17"/>
      <c r="F5" s="17">
        <v>3</v>
      </c>
      <c r="G5" s="17">
        <v>2</v>
      </c>
      <c r="H5" s="17"/>
      <c r="I5" s="17"/>
      <c r="J5" s="17">
        <v>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>
        <v>2</v>
      </c>
      <c r="Y5" s="17">
        <v>1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>
        <v>10</v>
      </c>
      <c r="AK5" s="17"/>
      <c r="AL5" s="17"/>
      <c r="AM5" s="17">
        <v>10</v>
      </c>
      <c r="AN5" s="17"/>
      <c r="AO5" s="17"/>
      <c r="AP5" s="17"/>
      <c r="AQ5" s="17">
        <v>4</v>
      </c>
      <c r="AR5" s="17"/>
      <c r="AS5" s="17"/>
      <c r="AT5" s="17"/>
      <c r="AU5" s="17"/>
      <c r="AV5" s="21">
        <v>28</v>
      </c>
    </row>
    <row r="6" spans="1:48">
      <c r="A6" s="15"/>
      <c r="B6" s="16" t="s">
        <v>44</v>
      </c>
      <c r="C6" s="17">
        <v>22</v>
      </c>
      <c r="D6" s="17">
        <v>13</v>
      </c>
      <c r="E6" s="17">
        <f>(C6-D6)</f>
        <v>9</v>
      </c>
      <c r="F6" s="17">
        <v>6</v>
      </c>
      <c r="G6" s="17">
        <v>3</v>
      </c>
      <c r="H6" s="17">
        <f>(F6-G6)</f>
        <v>3</v>
      </c>
      <c r="I6" s="17">
        <v>3</v>
      </c>
      <c r="J6" s="17"/>
      <c r="K6" s="17">
        <f>(I6-J6)</f>
        <v>3</v>
      </c>
      <c r="L6" s="17">
        <v>2</v>
      </c>
      <c r="M6" s="17">
        <v>2</v>
      </c>
      <c r="N6" s="17">
        <f>(L6-M6)</f>
        <v>0</v>
      </c>
      <c r="O6" s="17">
        <v>5</v>
      </c>
      <c r="P6" s="17">
        <v>4</v>
      </c>
      <c r="Q6" s="17">
        <f>(O6-P6)</f>
        <v>1</v>
      </c>
      <c r="R6" s="17">
        <v>1</v>
      </c>
      <c r="S6" s="17">
        <v>1</v>
      </c>
      <c r="T6" s="17">
        <f>(R6-S6)</f>
        <v>0</v>
      </c>
      <c r="U6" s="17"/>
      <c r="V6" s="17"/>
      <c r="W6" s="17">
        <f>(U6-V6)</f>
        <v>0</v>
      </c>
      <c r="X6" s="17"/>
      <c r="Y6" s="17"/>
      <c r="Z6" s="17">
        <f>(X6-Y6)</f>
        <v>0</v>
      </c>
      <c r="AA6" s="17"/>
      <c r="AB6" s="17"/>
      <c r="AC6" s="17">
        <f>(AA6-AB6)</f>
        <v>0</v>
      </c>
      <c r="AD6" s="17"/>
      <c r="AE6" s="17"/>
      <c r="AF6" s="17">
        <f>(AD6-AE6)</f>
        <v>0</v>
      </c>
      <c r="AG6" s="17"/>
      <c r="AH6" s="17"/>
      <c r="AI6" s="17">
        <f>(AG6-AH6)</f>
        <v>0</v>
      </c>
      <c r="AJ6" s="17"/>
      <c r="AK6" s="17"/>
      <c r="AL6" s="17">
        <f>(AJ6-AK6)</f>
        <v>0</v>
      </c>
      <c r="AM6" s="17"/>
      <c r="AN6" s="17"/>
      <c r="AO6" s="17">
        <f>(AM6-AN6)</f>
        <v>0</v>
      </c>
      <c r="AP6" s="17">
        <v>32</v>
      </c>
      <c r="AQ6" s="17">
        <v>27</v>
      </c>
      <c r="AR6" s="17">
        <f>(AP6-AQ6)</f>
        <v>5</v>
      </c>
      <c r="AS6" s="17"/>
      <c r="AT6" s="17"/>
      <c r="AU6" s="17">
        <f>(AS6-AT6)</f>
        <v>0</v>
      </c>
      <c r="AV6" s="21">
        <v>71</v>
      </c>
    </row>
    <row r="7" spans="1:48">
      <c r="A7" s="15"/>
      <c r="B7" s="16" t="s">
        <v>45</v>
      </c>
      <c r="C7" s="17">
        <v>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>
        <v>1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>
        <v>1</v>
      </c>
      <c r="AQ7" s="17"/>
      <c r="AR7" s="17"/>
      <c r="AS7" s="17">
        <v>1</v>
      </c>
      <c r="AT7" s="17"/>
      <c r="AU7" s="17"/>
      <c r="AV7" s="21">
        <v>7</v>
      </c>
    </row>
    <row r="8" spans="1:48">
      <c r="A8" s="15"/>
      <c r="B8" s="16" t="s">
        <v>46</v>
      </c>
      <c r="C8" s="17">
        <v>55</v>
      </c>
      <c r="D8" s="17">
        <v>4</v>
      </c>
      <c r="E8" s="17"/>
      <c r="F8" s="17">
        <v>42</v>
      </c>
      <c r="G8" s="17">
        <v>4</v>
      </c>
      <c r="H8" s="17"/>
      <c r="I8" s="17">
        <v>25</v>
      </c>
      <c r="J8" s="17">
        <v>1</v>
      </c>
      <c r="K8" s="17"/>
      <c r="L8" s="17">
        <v>7</v>
      </c>
      <c r="M8" s="17">
        <v>1</v>
      </c>
      <c r="N8" s="17"/>
      <c r="O8" s="17">
        <v>1</v>
      </c>
      <c r="P8" s="17"/>
      <c r="Q8" s="17"/>
      <c r="R8" s="17">
        <v>1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>
        <v>27</v>
      </c>
      <c r="AQ8" s="17">
        <v>7</v>
      </c>
      <c r="AR8" s="17"/>
      <c r="AS8" s="17">
        <v>4</v>
      </c>
      <c r="AT8" s="17">
        <v>2</v>
      </c>
      <c r="AU8" s="17"/>
      <c r="AV8" s="21">
        <v>162</v>
      </c>
    </row>
    <row r="9" s="57" customFormat="1" ht="15.25" spans="1:48">
      <c r="A9" s="15"/>
      <c r="B9" s="16" t="s">
        <v>47</v>
      </c>
      <c r="C9" s="17">
        <v>1</v>
      </c>
      <c r="D9" s="17">
        <v>18</v>
      </c>
      <c r="E9" s="17"/>
      <c r="F9" s="17"/>
      <c r="G9" s="17">
        <v>1</v>
      </c>
      <c r="H9" s="17"/>
      <c r="I9" s="17"/>
      <c r="J9" s="17">
        <v>2</v>
      </c>
      <c r="K9" s="17"/>
      <c r="L9" s="17"/>
      <c r="M9" s="17">
        <v>8</v>
      </c>
      <c r="N9" s="17"/>
      <c r="O9" s="17"/>
      <c r="P9" s="17">
        <v>2</v>
      </c>
      <c r="Q9" s="17"/>
      <c r="R9" s="17">
        <v>1</v>
      </c>
      <c r="S9" s="17">
        <v>3</v>
      </c>
      <c r="T9" s="17"/>
      <c r="U9" s="17"/>
      <c r="V9" s="17"/>
      <c r="W9" s="17"/>
      <c r="X9" s="17">
        <v>9</v>
      </c>
      <c r="Y9" s="17">
        <v>8</v>
      </c>
      <c r="Z9" s="17"/>
      <c r="AA9" s="17"/>
      <c r="AB9" s="17"/>
      <c r="AC9" s="17"/>
      <c r="AD9" s="17">
        <v>1</v>
      </c>
      <c r="AE9" s="17"/>
      <c r="AF9" s="17"/>
      <c r="AG9" s="17">
        <v>2</v>
      </c>
      <c r="AH9" s="17">
        <v>4</v>
      </c>
      <c r="AI9" s="17"/>
      <c r="AJ9" s="17"/>
      <c r="AK9" s="17"/>
      <c r="AL9" s="17"/>
      <c r="AM9" s="17"/>
      <c r="AN9" s="17"/>
      <c r="AO9" s="17"/>
      <c r="AP9" s="17">
        <v>4</v>
      </c>
      <c r="AQ9" s="17">
        <v>4</v>
      </c>
      <c r="AR9" s="17"/>
      <c r="AS9" s="17">
        <v>24</v>
      </c>
      <c r="AT9" s="17">
        <v>24</v>
      </c>
      <c r="AU9" s="17"/>
      <c r="AV9" s="21">
        <v>42</v>
      </c>
    </row>
    <row r="10" s="57" customFormat="1" ht="15" customHeight="1" spans="1:48">
      <c r="A10" s="18" t="s">
        <v>48</v>
      </c>
      <c r="B10" s="19" t="s">
        <v>49</v>
      </c>
      <c r="C10" s="32">
        <v>4</v>
      </c>
      <c r="D10" s="32"/>
      <c r="E10" s="32"/>
      <c r="F10" s="32">
        <v>1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>
        <v>1</v>
      </c>
      <c r="AQ10" s="32"/>
      <c r="AR10" s="32"/>
      <c r="AS10" s="32"/>
      <c r="AT10" s="32"/>
      <c r="AU10" s="32"/>
      <c r="AV10" s="21">
        <v>6</v>
      </c>
    </row>
    <row r="11" s="57" customFormat="1" ht="15" customHeight="1" spans="1:48">
      <c r="A11" s="20"/>
      <c r="B11" s="16" t="s">
        <v>50</v>
      </c>
      <c r="C11" s="69">
        <v>1</v>
      </c>
      <c r="D11" s="69">
        <v>1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>
        <v>1</v>
      </c>
      <c r="S11" s="69">
        <v>1</v>
      </c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>
        <v>1</v>
      </c>
      <c r="AQ11" s="69">
        <v>1</v>
      </c>
      <c r="AR11" s="69"/>
      <c r="AS11" s="69"/>
      <c r="AT11" s="69"/>
      <c r="AU11" s="69"/>
      <c r="AV11" s="21">
        <v>3</v>
      </c>
    </row>
    <row r="12" s="57" customFormat="1" ht="15" customHeight="1" spans="1:48">
      <c r="A12" s="20"/>
      <c r="B12" s="16" t="s">
        <v>51</v>
      </c>
      <c r="C12" s="17">
        <v>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1</v>
      </c>
      <c r="P12" s="17">
        <v>1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>
        <v>2</v>
      </c>
      <c r="AQ12" s="17"/>
      <c r="AR12" s="17"/>
      <c r="AS12" s="17"/>
      <c r="AT12" s="17"/>
      <c r="AU12" s="17"/>
      <c r="AV12" s="21">
        <v>7</v>
      </c>
    </row>
    <row r="13" s="57" customFormat="1" ht="15" customHeight="1" spans="1:48">
      <c r="A13" s="20"/>
      <c r="B13" s="16" t="s">
        <v>52</v>
      </c>
      <c r="C13" s="17">
        <v>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1</v>
      </c>
      <c r="P13" s="17"/>
      <c r="Q13" s="17"/>
      <c r="R13" s="17">
        <v>1</v>
      </c>
      <c r="S13" s="17"/>
      <c r="T13" s="17"/>
      <c r="U13" s="17"/>
      <c r="V13" s="17"/>
      <c r="W13" s="17"/>
      <c r="X13" s="17">
        <v>1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>
        <v>1</v>
      </c>
      <c r="AQ13" s="17"/>
      <c r="AR13" s="17"/>
      <c r="AS13" s="17"/>
      <c r="AT13" s="17"/>
      <c r="AU13" s="17"/>
      <c r="AV13" s="21">
        <v>5</v>
      </c>
    </row>
    <row r="14" s="57" customFormat="1" ht="15" customHeight="1" spans="1:48">
      <c r="A14" s="20"/>
      <c r="B14" s="16" t="s">
        <v>53</v>
      </c>
      <c r="C14" s="17">
        <v>9</v>
      </c>
      <c r="D14" s="17"/>
      <c r="E14" s="17"/>
      <c r="F14" s="17">
        <v>4</v>
      </c>
      <c r="G14" s="17"/>
      <c r="H14" s="17"/>
      <c r="I14" s="17">
        <v>1</v>
      </c>
      <c r="J14" s="17"/>
      <c r="K14" s="17"/>
      <c r="L14" s="17">
        <v>1</v>
      </c>
      <c r="M14" s="17"/>
      <c r="N14" s="17"/>
      <c r="O14" s="17">
        <v>2</v>
      </c>
      <c r="P14" s="17"/>
      <c r="Q14" s="17"/>
      <c r="R14" s="17"/>
      <c r="S14" s="17"/>
      <c r="T14" s="17"/>
      <c r="U14" s="17"/>
      <c r="V14" s="17"/>
      <c r="W14" s="17"/>
      <c r="X14" s="17">
        <v>2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>
        <v>14</v>
      </c>
      <c r="AQ14" s="17"/>
      <c r="AR14" s="17"/>
      <c r="AS14" s="17">
        <v>1</v>
      </c>
      <c r="AT14" s="17"/>
      <c r="AU14" s="17"/>
      <c r="AV14" s="21">
        <v>34</v>
      </c>
    </row>
    <row r="15" s="57" customFormat="1" ht="15" customHeight="1" spans="1:48">
      <c r="A15" s="20"/>
      <c r="B15" s="16" t="s">
        <v>54</v>
      </c>
      <c r="C15" s="17">
        <v>1</v>
      </c>
      <c r="D15" s="17"/>
      <c r="E15" s="17"/>
      <c r="F15" s="17">
        <v>1</v>
      </c>
      <c r="G15" s="17"/>
      <c r="H15" s="17"/>
      <c r="I15" s="17">
        <v>1</v>
      </c>
      <c r="J15" s="17"/>
      <c r="K15" s="17"/>
      <c r="L15" s="17">
        <v>1</v>
      </c>
      <c r="M15" s="17"/>
      <c r="N15" s="17"/>
      <c r="O15" s="17"/>
      <c r="P15" s="17">
        <v>1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>
        <v>4</v>
      </c>
      <c r="AQ15" s="17">
        <v>1</v>
      </c>
      <c r="AR15" s="17"/>
      <c r="AS15" s="17"/>
      <c r="AT15" s="17"/>
      <c r="AU15" s="17"/>
      <c r="AV15" s="21">
        <v>8</v>
      </c>
    </row>
    <row r="16" s="57" customFormat="1" ht="15" customHeight="1" spans="1:48">
      <c r="A16" s="20"/>
      <c r="B16" s="16" t="s">
        <v>55</v>
      </c>
      <c r="C16" s="17">
        <v>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21">
        <v>1</v>
      </c>
    </row>
    <row r="17" s="57" customFormat="1" ht="15" customHeight="1" spans="1:48">
      <c r="A17" s="20"/>
      <c r="B17" s="16" t="s">
        <v>56</v>
      </c>
      <c r="C17" s="17">
        <v>4</v>
      </c>
      <c r="D17" s="17">
        <v>1</v>
      </c>
      <c r="E17" s="17"/>
      <c r="F17" s="17">
        <v>2</v>
      </c>
      <c r="G17" s="17"/>
      <c r="H17" s="17"/>
      <c r="I17" s="17">
        <v>1</v>
      </c>
      <c r="J17" s="17"/>
      <c r="K17" s="17"/>
      <c r="L17" s="17"/>
      <c r="M17" s="17"/>
      <c r="N17" s="17"/>
      <c r="O17" s="17">
        <v>1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>
        <v>3</v>
      </c>
      <c r="AQ17" s="17"/>
      <c r="AR17" s="17"/>
      <c r="AS17" s="17"/>
      <c r="AT17" s="17"/>
      <c r="AU17" s="17"/>
      <c r="AV17" s="21">
        <v>11</v>
      </c>
    </row>
    <row r="18" s="57" customFormat="1" ht="19.25" spans="1:48">
      <c r="A18" s="22" t="s">
        <v>57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79"/>
    </row>
    <row r="19" s="57" customFormat="1" ht="15" customHeight="1" spans="1:48">
      <c r="A19" s="18" t="s">
        <v>58</v>
      </c>
      <c r="B19" s="19" t="s">
        <v>59</v>
      </c>
      <c r="C19" s="32">
        <v>6</v>
      </c>
      <c r="D19" s="32"/>
      <c r="E19" s="32"/>
      <c r="F19" s="32">
        <v>2</v>
      </c>
      <c r="G19" s="32"/>
      <c r="H19" s="32"/>
      <c r="I19" s="32">
        <v>1</v>
      </c>
      <c r="J19" s="32"/>
      <c r="K19" s="32"/>
      <c r="L19" s="32"/>
      <c r="M19" s="32"/>
      <c r="N19" s="32"/>
      <c r="O19" s="32">
        <v>2</v>
      </c>
      <c r="P19" s="32"/>
      <c r="Q19" s="32"/>
      <c r="R19" s="32">
        <v>1</v>
      </c>
      <c r="S19" s="32"/>
      <c r="T19" s="32"/>
      <c r="U19" s="32">
        <v>1</v>
      </c>
      <c r="V19" s="32"/>
      <c r="W19" s="32"/>
      <c r="X19" s="32">
        <v>6</v>
      </c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>
        <v>3</v>
      </c>
      <c r="AQ19" s="32"/>
      <c r="AR19" s="32"/>
      <c r="AS19" s="32"/>
      <c r="AT19" s="32"/>
      <c r="AU19" s="32"/>
      <c r="AV19" s="21">
        <v>22</v>
      </c>
    </row>
    <row r="20" s="57" customFormat="1" ht="15" customHeight="1" spans="1:48">
      <c r="A20" s="20"/>
      <c r="B20" s="16" t="s">
        <v>60</v>
      </c>
      <c r="C20" s="17">
        <v>2</v>
      </c>
      <c r="D20" s="17"/>
      <c r="E20" s="17"/>
      <c r="F20" s="17">
        <v>1</v>
      </c>
      <c r="G20" s="17"/>
      <c r="H20" s="17"/>
      <c r="I20" s="17">
        <v>1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>
        <v>1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>
        <v>2</v>
      </c>
      <c r="AT20" s="17"/>
      <c r="AU20" s="17"/>
      <c r="AV20" s="21">
        <v>7</v>
      </c>
    </row>
    <row r="21" s="57" customFormat="1" ht="19.25" spans="1:48">
      <c r="A21" s="22" t="s">
        <v>61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79"/>
    </row>
    <row r="22" s="57" customFormat="1" ht="15" customHeight="1" spans="1:48">
      <c r="A22" s="18" t="s">
        <v>62</v>
      </c>
      <c r="B22" s="19" t="s">
        <v>63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21">
        <v>0</v>
      </c>
    </row>
    <row r="23" s="57" customFormat="1" ht="15" customHeight="1" spans="1:48">
      <c r="A23" s="20"/>
      <c r="B23" s="16" t="s">
        <v>64</v>
      </c>
      <c r="C23" s="17">
        <v>3</v>
      </c>
      <c r="D23" s="17">
        <v>5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>
        <v>2</v>
      </c>
      <c r="Y23" s="17">
        <v>1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>
        <v>4</v>
      </c>
      <c r="AQ23" s="17">
        <v>3</v>
      </c>
      <c r="AR23" s="17"/>
      <c r="AS23" s="17"/>
      <c r="AT23" s="17"/>
      <c r="AU23" s="17"/>
      <c r="AV23" s="21">
        <v>9</v>
      </c>
    </row>
    <row r="24" s="57" customFormat="1" ht="15" customHeight="1" spans="1:48">
      <c r="A24" s="20"/>
      <c r="B24" s="16" t="s">
        <v>65</v>
      </c>
      <c r="C24" s="17">
        <v>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>
        <v>5</v>
      </c>
      <c r="AQ24" s="17"/>
      <c r="AR24" s="17"/>
      <c r="AS24" s="17"/>
      <c r="AT24" s="17"/>
      <c r="AU24" s="17"/>
      <c r="AV24" s="21">
        <v>13</v>
      </c>
    </row>
    <row r="25" s="57" customFormat="1" ht="15" customHeight="1" spans="1:48">
      <c r="A25" s="20"/>
      <c r="B25" s="16" t="s">
        <v>66</v>
      </c>
      <c r="C25" s="17">
        <v>4</v>
      </c>
      <c r="D25" s="17"/>
      <c r="E25" s="17"/>
      <c r="F25" s="17">
        <v>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>
        <v>1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21">
        <v>6</v>
      </c>
    </row>
    <row r="26" s="57" customFormat="1" ht="19.25" spans="1:48">
      <c r="A26" s="27" t="s">
        <v>67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79"/>
    </row>
    <row r="27" s="57" customFormat="1" ht="15" customHeight="1" spans="1:48">
      <c r="A27" s="20" t="s">
        <v>68</v>
      </c>
      <c r="B27" s="16" t="s">
        <v>68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21"/>
    </row>
    <row r="28" ht="15" customHeight="1" spans="1:48">
      <c r="A28" s="20"/>
      <c r="B28" s="16" t="s">
        <v>69</v>
      </c>
      <c r="C28" s="17">
        <v>1</v>
      </c>
      <c r="D28" s="17"/>
      <c r="E28" s="17"/>
      <c r="F28" s="17">
        <v>2</v>
      </c>
      <c r="G28" s="17"/>
      <c r="H28" s="17"/>
      <c r="I28" s="17">
        <v>1</v>
      </c>
      <c r="J28" s="17"/>
      <c r="K28" s="17"/>
      <c r="L28" s="17">
        <v>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>
        <v>1</v>
      </c>
      <c r="AQ28" s="17"/>
      <c r="AR28" s="17"/>
      <c r="AS28" s="17"/>
      <c r="AT28" s="17"/>
      <c r="AU28" s="17"/>
      <c r="AV28" s="21">
        <v>6</v>
      </c>
    </row>
    <row r="29" s="57" customFormat="1" ht="19.25" spans="1:48">
      <c r="A29" s="27" t="s">
        <v>70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79"/>
    </row>
    <row r="30" s="57" customFormat="1" ht="15" customHeight="1" spans="1:48">
      <c r="A30" s="28" t="s">
        <v>71</v>
      </c>
      <c r="B30" s="19" t="s">
        <v>72</v>
      </c>
      <c r="C30" s="32">
        <v>2</v>
      </c>
      <c r="D30" s="32">
        <v>3</v>
      </c>
      <c r="E30" s="32" t="s">
        <v>73</v>
      </c>
      <c r="F30" s="32">
        <v>1</v>
      </c>
      <c r="G30" s="32">
        <v>1</v>
      </c>
      <c r="H30" s="32"/>
      <c r="I30" s="32"/>
      <c r="J30" s="32">
        <v>1</v>
      </c>
      <c r="K30" s="32"/>
      <c r="L30" s="32"/>
      <c r="M30" s="32"/>
      <c r="N30" s="32"/>
      <c r="O30" s="32">
        <v>2</v>
      </c>
      <c r="P30" s="32">
        <v>1</v>
      </c>
      <c r="Q30" s="32"/>
      <c r="R30" s="32">
        <v>2</v>
      </c>
      <c r="S30" s="32">
        <v>1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>
        <v>1</v>
      </c>
      <c r="AQ30" s="32">
        <v>1</v>
      </c>
      <c r="AR30" s="32"/>
      <c r="AS30" s="32"/>
      <c r="AT30" s="32"/>
      <c r="AU30" s="32"/>
      <c r="AV30" s="21">
        <v>6</v>
      </c>
    </row>
    <row r="31" s="57" customFormat="1" ht="15" customHeight="1" spans="1:48">
      <c r="A31" s="29"/>
      <c r="B31" s="16" t="s">
        <v>74</v>
      </c>
      <c r="C31" s="17">
        <v>3</v>
      </c>
      <c r="D31" s="17"/>
      <c r="E31" s="17"/>
      <c r="F31" s="17">
        <v>2</v>
      </c>
      <c r="G31" s="17"/>
      <c r="H31" s="17"/>
      <c r="I31" s="17">
        <v>1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21">
        <v>6</v>
      </c>
    </row>
    <row r="32" s="57" customFormat="1" ht="15" customHeight="1" spans="1:48">
      <c r="A32" s="29"/>
      <c r="B32" s="16" t="s">
        <v>75</v>
      </c>
      <c r="C32" s="17">
        <v>2</v>
      </c>
      <c r="D32" s="17">
        <v>1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2</v>
      </c>
      <c r="P32" s="17">
        <v>1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>
        <v>2</v>
      </c>
      <c r="AR32" s="17"/>
      <c r="AS32" s="17">
        <v>1</v>
      </c>
      <c r="AT32" s="17"/>
      <c r="AU32" s="17"/>
      <c r="AV32" s="21">
        <v>5</v>
      </c>
    </row>
    <row r="33" s="57" customFormat="1" ht="15" customHeight="1" spans="1:48">
      <c r="A33" s="20"/>
      <c r="B33" s="16" t="s">
        <v>76</v>
      </c>
      <c r="C33" s="17">
        <v>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21">
        <v>1</v>
      </c>
    </row>
    <row r="34" s="57" customFormat="1" ht="15" customHeight="1" spans="1:48">
      <c r="A34" s="20"/>
      <c r="B34" s="16" t="s">
        <v>77</v>
      </c>
      <c r="C34" s="17">
        <v>5</v>
      </c>
      <c r="D34" s="17">
        <v>5</v>
      </c>
      <c r="E34" s="17"/>
      <c r="F34" s="17">
        <v>2</v>
      </c>
      <c r="G34" s="17">
        <v>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>
        <v>2</v>
      </c>
      <c r="AQ34" s="17">
        <v>1</v>
      </c>
      <c r="AR34" s="17"/>
      <c r="AS34" s="17">
        <v>2</v>
      </c>
      <c r="AT34" s="17"/>
      <c r="AU34" s="17"/>
      <c r="AV34" s="21">
        <v>11</v>
      </c>
    </row>
    <row r="35" ht="15" customHeight="1" spans="1:48">
      <c r="A35" s="20"/>
      <c r="B35" s="16" t="s">
        <v>78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>
        <v>1</v>
      </c>
      <c r="AQ35" s="17"/>
      <c r="AR35" s="17"/>
      <c r="AS35" s="17"/>
      <c r="AT35" s="17"/>
      <c r="AU35" s="17"/>
      <c r="AV35" s="21">
        <v>1</v>
      </c>
    </row>
    <row r="36" ht="15" customHeight="1" spans="1:48">
      <c r="A36" s="20"/>
      <c r="B36" s="16" t="s">
        <v>79</v>
      </c>
      <c r="C36" s="17">
        <v>1</v>
      </c>
      <c r="D36" s="17">
        <v>2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21">
        <v>1</v>
      </c>
    </row>
    <row r="37" ht="15" customHeight="1" spans="1:48">
      <c r="A37" s="20"/>
      <c r="B37" s="16" t="s">
        <v>80</v>
      </c>
      <c r="C37" s="17">
        <v>2</v>
      </c>
      <c r="D37" s="17">
        <v>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>
        <v>6</v>
      </c>
      <c r="AQ37" s="17">
        <v>5</v>
      </c>
      <c r="AR37" s="17"/>
      <c r="AS37" s="17"/>
      <c r="AT37" s="17"/>
      <c r="AU37" s="17"/>
      <c r="AV37" s="21">
        <v>8</v>
      </c>
    </row>
    <row r="38" ht="15" customHeight="1" spans="1:48">
      <c r="A38" s="20"/>
      <c r="B38" s="16" t="s">
        <v>81</v>
      </c>
      <c r="C38" s="17">
        <v>4</v>
      </c>
      <c r="D38" s="17">
        <v>3</v>
      </c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>
        <v>3</v>
      </c>
      <c r="AR38" s="17"/>
      <c r="AS38" s="17">
        <v>2</v>
      </c>
      <c r="AT38" s="17"/>
      <c r="AU38" s="17"/>
      <c r="AV38" s="21">
        <v>7</v>
      </c>
    </row>
    <row r="39" ht="19.25" spans="1:48">
      <c r="A39" s="27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79"/>
    </row>
    <row r="40" spans="1:48">
      <c r="A40" s="15"/>
      <c r="B40" s="30" t="s">
        <v>82</v>
      </c>
      <c r="C40" s="69">
        <v>15</v>
      </c>
      <c r="D40" s="69"/>
      <c r="E40" s="69"/>
      <c r="F40" s="69">
        <v>6</v>
      </c>
      <c r="G40" s="69"/>
      <c r="H40" s="69"/>
      <c r="I40" s="69"/>
      <c r="J40" s="69"/>
      <c r="K40" s="69"/>
      <c r="L40" s="69">
        <v>1</v>
      </c>
      <c r="M40" s="69"/>
      <c r="N40" s="69"/>
      <c r="O40" s="69"/>
      <c r="P40" s="69"/>
      <c r="Q40" s="69"/>
      <c r="R40" s="69"/>
      <c r="S40" s="69"/>
      <c r="T40" s="69"/>
      <c r="U40" s="69">
        <v>7</v>
      </c>
      <c r="V40" s="69"/>
      <c r="W40" s="69"/>
      <c r="X40" s="69">
        <v>21</v>
      </c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>
        <v>10</v>
      </c>
      <c r="AQ40" s="69"/>
      <c r="AR40" s="69"/>
      <c r="AS40" s="69"/>
      <c r="AT40" s="69"/>
      <c r="AU40" s="69"/>
      <c r="AV40" s="21">
        <v>60</v>
      </c>
    </row>
    <row r="41" s="57" customFormat="1" spans="1:48">
      <c r="A41" s="15"/>
      <c r="B41" s="16" t="s">
        <v>83</v>
      </c>
      <c r="C41" s="17">
        <v>19</v>
      </c>
      <c r="D41" s="17">
        <v>21</v>
      </c>
      <c r="E41" s="17"/>
      <c r="F41" s="17">
        <v>9</v>
      </c>
      <c r="G41" s="17">
        <v>9</v>
      </c>
      <c r="H41" s="17"/>
      <c r="I41" s="17">
        <v>2</v>
      </c>
      <c r="J41" s="17">
        <v>4</v>
      </c>
      <c r="K41" s="17"/>
      <c r="L41" s="17">
        <v>2</v>
      </c>
      <c r="M41" s="17">
        <v>1</v>
      </c>
      <c r="N41" s="17"/>
      <c r="O41" s="17">
        <v>5</v>
      </c>
      <c r="P41" s="17">
        <v>5</v>
      </c>
      <c r="Q41" s="17"/>
      <c r="R41" s="17">
        <v>1</v>
      </c>
      <c r="S41" s="17">
        <v>1</v>
      </c>
      <c r="T41" s="17"/>
      <c r="U41" s="17">
        <v>6</v>
      </c>
      <c r="V41" s="17">
        <v>5</v>
      </c>
      <c r="W41" s="17"/>
      <c r="X41" s="17">
        <v>10</v>
      </c>
      <c r="Y41" s="17">
        <v>10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>
        <v>30</v>
      </c>
      <c r="AQ41" s="17">
        <v>28</v>
      </c>
      <c r="AR41" s="17"/>
      <c r="AS41" s="17">
        <v>1</v>
      </c>
      <c r="AT41" s="17">
        <v>1</v>
      </c>
      <c r="AU41" s="17"/>
      <c r="AV41" s="21">
        <v>85</v>
      </c>
    </row>
    <row r="42" s="57" customFormat="1" spans="1:48">
      <c r="A42" s="15"/>
      <c r="B42" s="16" t="s">
        <v>84</v>
      </c>
      <c r="C42" s="17">
        <v>5</v>
      </c>
      <c r="D42" s="17"/>
      <c r="E42" s="17"/>
      <c r="F42" s="17"/>
      <c r="G42" s="17"/>
      <c r="H42" s="17"/>
      <c r="I42" s="17"/>
      <c r="J42" s="17"/>
      <c r="K42" s="17"/>
      <c r="L42" s="17">
        <v>1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>
        <v>1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>
        <v>4</v>
      </c>
      <c r="AQ42" s="17"/>
      <c r="AR42" s="17"/>
      <c r="AS42" s="17"/>
      <c r="AT42" s="17"/>
      <c r="AU42" s="17"/>
      <c r="AV42" s="21">
        <v>11</v>
      </c>
    </row>
    <row r="43" s="57" customFormat="1" spans="1:48">
      <c r="A43" s="15"/>
      <c r="B43" s="16" t="s">
        <v>85</v>
      </c>
      <c r="C43" s="17">
        <v>12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>
        <v>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10</v>
      </c>
      <c r="AQ43" s="17"/>
      <c r="AR43" s="17"/>
      <c r="AS43" s="17"/>
      <c r="AT43" s="17"/>
      <c r="AU43" s="17"/>
      <c r="AV43" s="21">
        <v>25</v>
      </c>
    </row>
    <row r="44" s="57" customFormat="1" spans="1:48">
      <c r="A44" s="15"/>
      <c r="B44" s="16" t="s">
        <v>86</v>
      </c>
      <c r="C44" s="17">
        <v>28</v>
      </c>
      <c r="D44" s="17">
        <v>22</v>
      </c>
      <c r="E44" s="17"/>
      <c r="F44" s="17">
        <v>3</v>
      </c>
      <c r="G44" s="17">
        <v>2</v>
      </c>
      <c r="H44" s="17"/>
      <c r="I44" s="17">
        <v>4</v>
      </c>
      <c r="J44" s="17">
        <v>3</v>
      </c>
      <c r="K44" s="17"/>
      <c r="L44" s="17">
        <v>3</v>
      </c>
      <c r="M44" s="17">
        <v>2</v>
      </c>
      <c r="N44" s="17"/>
      <c r="O44" s="17">
        <v>4</v>
      </c>
      <c r="P44" s="17">
        <v>3</v>
      </c>
      <c r="Q44" s="17"/>
      <c r="R44" s="17">
        <v>1</v>
      </c>
      <c r="S44" s="17">
        <v>1</v>
      </c>
      <c r="T44" s="17"/>
      <c r="U44" s="17"/>
      <c r="V44" s="17"/>
      <c r="W44" s="17"/>
      <c r="X44" s="17">
        <v>2</v>
      </c>
      <c r="Y44" s="17">
        <v>2</v>
      </c>
      <c r="Z44" s="17"/>
      <c r="AA44" s="17"/>
      <c r="AB44" s="17"/>
      <c r="AC44" s="17"/>
      <c r="AD44" s="17"/>
      <c r="AE44" s="17"/>
      <c r="AF44" s="17"/>
      <c r="AG44" s="17"/>
      <c r="AH44" s="17">
        <v>1</v>
      </c>
      <c r="AI44" s="17"/>
      <c r="AJ44" s="17"/>
      <c r="AK44" s="17"/>
      <c r="AL44" s="17"/>
      <c r="AM44" s="17"/>
      <c r="AN44" s="17"/>
      <c r="AO44" s="17"/>
      <c r="AP44" s="17">
        <v>15</v>
      </c>
      <c r="AQ44" s="17">
        <v>15</v>
      </c>
      <c r="AR44" s="17"/>
      <c r="AS44" s="17">
        <v>1</v>
      </c>
      <c r="AT44" s="17">
        <v>1</v>
      </c>
      <c r="AU44" s="17"/>
      <c r="AV44" s="21">
        <v>61</v>
      </c>
    </row>
    <row r="45" ht="15.25" spans="1:48">
      <c r="A45" s="15"/>
      <c r="B45" s="16" t="s">
        <v>87</v>
      </c>
      <c r="C45" s="17">
        <v>20</v>
      </c>
      <c r="D45" s="17">
        <v>17</v>
      </c>
      <c r="E45" s="17"/>
      <c r="F45" s="17">
        <v>4</v>
      </c>
      <c r="G45" s="17">
        <v>5</v>
      </c>
      <c r="H45" s="17"/>
      <c r="I45" s="17">
        <v>10</v>
      </c>
      <c r="J45" s="17">
        <v>8</v>
      </c>
      <c r="K45" s="17"/>
      <c r="L45" s="17">
        <v>1</v>
      </c>
      <c r="M45" s="17"/>
      <c r="N45" s="17"/>
      <c r="O45" s="17">
        <v>5</v>
      </c>
      <c r="P45" s="17">
        <v>1</v>
      </c>
      <c r="Q45" s="17"/>
      <c r="R45" s="17">
        <v>1</v>
      </c>
      <c r="S45" s="17"/>
      <c r="T45" s="17"/>
      <c r="U45" s="17">
        <v>1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>
        <v>30</v>
      </c>
      <c r="AQ45" s="17">
        <v>23</v>
      </c>
      <c r="AR45" s="17"/>
      <c r="AS45" s="17"/>
      <c r="AT45" s="17"/>
      <c r="AU45" s="17"/>
      <c r="AV45" s="21">
        <v>72</v>
      </c>
    </row>
    <row r="46" ht="15" customHeight="1" spans="1:48">
      <c r="A46" s="31" t="s">
        <v>88</v>
      </c>
      <c r="B46" s="19" t="s">
        <v>89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>
        <v>2</v>
      </c>
      <c r="AQ46" s="32"/>
      <c r="AR46" s="32"/>
      <c r="AS46" s="32"/>
      <c r="AT46" s="32"/>
      <c r="AU46" s="32"/>
      <c r="AV46" s="21">
        <v>2</v>
      </c>
    </row>
    <row r="47" s="57" customFormat="1" ht="15" customHeight="1" spans="1:48">
      <c r="A47" s="34"/>
      <c r="B47" s="16" t="s">
        <v>90</v>
      </c>
      <c r="C47" s="17">
        <v>4</v>
      </c>
      <c r="D47" s="17"/>
      <c r="E47" s="17"/>
      <c r="F47" s="17">
        <v>1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>
        <v>4</v>
      </c>
      <c r="AQ47" s="17"/>
      <c r="AR47" s="17"/>
      <c r="AS47" s="17"/>
      <c r="AT47" s="17"/>
      <c r="AU47" s="17"/>
      <c r="AV47" s="21">
        <v>9</v>
      </c>
    </row>
    <row r="48" ht="15" customHeight="1" spans="1:48">
      <c r="A48" s="34"/>
      <c r="B48" s="16" t="s">
        <v>91</v>
      </c>
      <c r="C48" s="17">
        <v>1</v>
      </c>
      <c r="D48" s="17">
        <v>1</v>
      </c>
      <c r="E48" s="17"/>
      <c r="F48" s="17">
        <v>2</v>
      </c>
      <c r="G48" s="17">
        <v>1</v>
      </c>
      <c r="H48" s="17"/>
      <c r="I48" s="17">
        <v>1</v>
      </c>
      <c r="J48" s="17"/>
      <c r="K48" s="17"/>
      <c r="L48" s="17">
        <v>1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>
        <v>1</v>
      </c>
      <c r="Y48" s="17">
        <v>1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2</v>
      </c>
      <c r="AQ48" s="17">
        <v>2</v>
      </c>
      <c r="AR48" s="17"/>
      <c r="AS48" s="17">
        <v>3</v>
      </c>
      <c r="AT48" s="17">
        <v>2</v>
      </c>
      <c r="AU48" s="17"/>
      <c r="AV48" s="21">
        <v>11</v>
      </c>
    </row>
    <row r="49" ht="15" customHeight="1" spans="1:48">
      <c r="A49" s="34"/>
      <c r="B49" s="16" t="s">
        <v>92</v>
      </c>
      <c r="C49" s="17">
        <v>1</v>
      </c>
      <c r="D49" s="17">
        <v>1</v>
      </c>
      <c r="E49" s="17"/>
      <c r="F49" s="17">
        <v>1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21">
        <v>2</v>
      </c>
    </row>
    <row r="50" ht="15" customHeight="1" spans="1:48">
      <c r="A50" s="35"/>
      <c r="B50" s="16" t="s">
        <v>93</v>
      </c>
      <c r="C50" s="17">
        <v>2</v>
      </c>
      <c r="D50" s="17">
        <v>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21">
        <v>2</v>
      </c>
    </row>
    <row r="51" s="57" customFormat="1" ht="15" customHeight="1" spans="1:48">
      <c r="A51" s="35"/>
      <c r="B51" s="16" t="s">
        <v>94</v>
      </c>
      <c r="C51" s="17">
        <v>7</v>
      </c>
      <c r="D51" s="17">
        <v>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>
        <v>2</v>
      </c>
      <c r="AT51" s="17"/>
      <c r="AU51" s="17"/>
      <c r="AV51" s="21">
        <v>9</v>
      </c>
    </row>
    <row r="52" s="57" customFormat="1" ht="15" customHeight="1" spans="1:48">
      <c r="A52" s="35"/>
      <c r="B52" s="16" t="s">
        <v>95</v>
      </c>
      <c r="C52" s="17">
        <v>3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1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>
        <v>4</v>
      </c>
      <c r="AQ52" s="17"/>
      <c r="AR52" s="17"/>
      <c r="AS52" s="17"/>
      <c r="AT52" s="17"/>
      <c r="AU52" s="17"/>
      <c r="AV52" s="21">
        <v>8</v>
      </c>
    </row>
    <row r="53" s="57" customFormat="1" ht="15" customHeight="1" spans="1:48">
      <c r="A53" s="35"/>
      <c r="B53" s="16" t="s">
        <v>96</v>
      </c>
      <c r="C53" s="17">
        <v>5</v>
      </c>
      <c r="D53" s="17"/>
      <c r="E53" s="17"/>
      <c r="F53" s="17"/>
      <c r="G53" s="17"/>
      <c r="H53" s="17"/>
      <c r="I53" s="17"/>
      <c r="J53" s="17"/>
      <c r="K53" s="17"/>
      <c r="L53" s="17">
        <v>2</v>
      </c>
      <c r="M53" s="17"/>
      <c r="N53" s="17"/>
      <c r="O53" s="17">
        <v>3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>
        <v>6</v>
      </c>
      <c r="AQ53" s="17"/>
      <c r="AR53" s="17"/>
      <c r="AS53" s="17"/>
      <c r="AT53" s="17"/>
      <c r="AU53" s="17"/>
      <c r="AV53" s="21">
        <v>16</v>
      </c>
    </row>
    <row r="54" s="57" customFormat="1" ht="15" customHeight="1" spans="1:48">
      <c r="A54" s="35"/>
      <c r="B54" s="16" t="s">
        <v>97</v>
      </c>
      <c r="C54" s="17">
        <v>4</v>
      </c>
      <c r="D54" s="17"/>
      <c r="E54" s="17"/>
      <c r="F54" s="17">
        <v>3</v>
      </c>
      <c r="G54" s="17"/>
      <c r="H54" s="17"/>
      <c r="I54" s="17">
        <v>1</v>
      </c>
      <c r="J54" s="17"/>
      <c r="K54" s="17"/>
      <c r="L54" s="17"/>
      <c r="M54" s="17"/>
      <c r="N54" s="17"/>
      <c r="O54" s="17">
        <v>1</v>
      </c>
      <c r="P54" s="17"/>
      <c r="Q54" s="17"/>
      <c r="R54" s="17"/>
      <c r="S54" s="17"/>
      <c r="T54" s="17"/>
      <c r="U54" s="17"/>
      <c r="V54" s="17"/>
      <c r="W54" s="17"/>
      <c r="X54" s="17">
        <v>1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>
        <v>4</v>
      </c>
      <c r="AQ54" s="17"/>
      <c r="AR54" s="17"/>
      <c r="AS54" s="17"/>
      <c r="AT54" s="17"/>
      <c r="AU54" s="17"/>
      <c r="AV54" s="21">
        <v>14</v>
      </c>
    </row>
    <row r="55" s="57" customFormat="1" ht="19.25" spans="1:48">
      <c r="A55" s="27" t="s">
        <v>98</v>
      </c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79"/>
    </row>
    <row r="56" s="57" customFormat="1" ht="16.5" customHeight="1" spans="1:48">
      <c r="A56" s="36" t="s">
        <v>99</v>
      </c>
      <c r="B56" s="19" t="s">
        <v>100</v>
      </c>
      <c r="C56" s="32">
        <v>5</v>
      </c>
      <c r="D56" s="32">
        <v>3</v>
      </c>
      <c r="E56" s="32"/>
      <c r="F56" s="32">
        <v>4</v>
      </c>
      <c r="G56" s="32">
        <v>1</v>
      </c>
      <c r="H56" s="32"/>
      <c r="I56" s="32">
        <v>1</v>
      </c>
      <c r="J56" s="32">
        <v>2</v>
      </c>
      <c r="K56" s="32"/>
      <c r="L56" s="32">
        <v>3</v>
      </c>
      <c r="M56" s="32">
        <v>2</v>
      </c>
      <c r="N56" s="32"/>
      <c r="O56" s="32">
        <v>3</v>
      </c>
      <c r="P56" s="32">
        <v>5</v>
      </c>
      <c r="Q56" s="32"/>
      <c r="R56" s="32"/>
      <c r="S56" s="32"/>
      <c r="T56" s="32"/>
      <c r="U56" s="32"/>
      <c r="V56" s="32"/>
      <c r="W56" s="32"/>
      <c r="X56" s="32">
        <v>3</v>
      </c>
      <c r="Y56" s="32">
        <v>2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>
        <v>15</v>
      </c>
      <c r="AQ56" s="32">
        <v>17</v>
      </c>
      <c r="AR56" s="32"/>
      <c r="AS56" s="32"/>
      <c r="AT56" s="32"/>
      <c r="AU56" s="32"/>
      <c r="AV56" s="21">
        <v>34</v>
      </c>
    </row>
    <row r="57" s="57" customFormat="1" ht="15" customHeight="1" spans="1:48">
      <c r="A57" s="37"/>
      <c r="B57" s="16" t="s">
        <v>101</v>
      </c>
      <c r="C57" s="17">
        <v>4</v>
      </c>
      <c r="D57" s="17">
        <v>5</v>
      </c>
      <c r="E57" s="17"/>
      <c r="F57" s="17">
        <v>3</v>
      </c>
      <c r="G57" s="17">
        <v>3</v>
      </c>
      <c r="H57" s="17"/>
      <c r="I57" s="17"/>
      <c r="J57" s="17"/>
      <c r="K57" s="17"/>
      <c r="L57" s="17"/>
      <c r="M57" s="17"/>
      <c r="N57" s="17"/>
      <c r="O57" s="17">
        <v>2</v>
      </c>
      <c r="P57" s="17">
        <v>1</v>
      </c>
      <c r="Q57" s="17"/>
      <c r="R57" s="17">
        <v>1</v>
      </c>
      <c r="S57" s="17">
        <v>1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>
        <v>6</v>
      </c>
      <c r="AQ57" s="17">
        <v>6</v>
      </c>
      <c r="AR57" s="17"/>
      <c r="AS57" s="17"/>
      <c r="AT57" s="17"/>
      <c r="AU57" s="17"/>
      <c r="AV57" s="21">
        <v>16</v>
      </c>
    </row>
    <row r="58" s="57" customFormat="1" ht="15" customHeight="1" spans="1:48">
      <c r="A58" s="37"/>
      <c r="B58" s="16" t="s">
        <v>102</v>
      </c>
      <c r="C58" s="17">
        <v>3</v>
      </c>
      <c r="D58" s="17">
        <v>3</v>
      </c>
      <c r="E58" s="17"/>
      <c r="F58" s="17">
        <v>3</v>
      </c>
      <c r="G58" s="17">
        <v>3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>
        <v>4</v>
      </c>
      <c r="AQ58" s="17">
        <v>4</v>
      </c>
      <c r="AR58" s="17"/>
      <c r="AS58" s="17"/>
      <c r="AT58" s="17"/>
      <c r="AU58" s="17"/>
      <c r="AV58" s="21">
        <v>10</v>
      </c>
    </row>
    <row r="59" s="57" customFormat="1" ht="19.25" spans="1:48">
      <c r="A59" s="22" t="s">
        <v>103</v>
      </c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79"/>
    </row>
    <row r="60" s="57" customFormat="1" ht="15" customHeight="1" spans="1:48">
      <c r="A60" s="20" t="s">
        <v>104</v>
      </c>
      <c r="B60" s="38" t="s">
        <v>105</v>
      </c>
      <c r="C60" s="69">
        <v>5</v>
      </c>
      <c r="D60" s="69"/>
      <c r="E60" s="69"/>
      <c r="F60" s="69">
        <v>2</v>
      </c>
      <c r="G60" s="69"/>
      <c r="H60" s="69"/>
      <c r="I60" s="69">
        <v>1</v>
      </c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>
        <v>1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>
        <v>2</v>
      </c>
      <c r="AQ60" s="69"/>
      <c r="AR60" s="69"/>
      <c r="AS60" s="69"/>
      <c r="AT60" s="69"/>
      <c r="AU60" s="69"/>
      <c r="AV60" s="21">
        <v>11</v>
      </c>
    </row>
    <row r="61" s="57" customFormat="1" ht="15" customHeight="1" spans="1:48">
      <c r="A61" s="39" t="s">
        <v>106</v>
      </c>
      <c r="B61" s="19" t="s">
        <v>107</v>
      </c>
      <c r="C61" s="32">
        <v>4</v>
      </c>
      <c r="D61" s="32">
        <v>3</v>
      </c>
      <c r="E61" s="32"/>
      <c r="F61" s="32">
        <v>4</v>
      </c>
      <c r="G61" s="32"/>
      <c r="H61" s="32"/>
      <c r="I61" s="32">
        <v>1</v>
      </c>
      <c r="J61" s="32">
        <v>2</v>
      </c>
      <c r="K61" s="32"/>
      <c r="L61" s="32">
        <v>2</v>
      </c>
      <c r="M61" s="32"/>
      <c r="N61" s="32"/>
      <c r="O61" s="32">
        <v>1</v>
      </c>
      <c r="P61" s="32">
        <v>1</v>
      </c>
      <c r="Q61" s="32"/>
      <c r="R61" s="32"/>
      <c r="S61" s="32">
        <v>1</v>
      </c>
      <c r="T61" s="32"/>
      <c r="U61" s="32"/>
      <c r="V61" s="32"/>
      <c r="W61" s="32"/>
      <c r="X61" s="32"/>
      <c r="Y61" s="32">
        <v>1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>
        <v>2</v>
      </c>
      <c r="AT61" s="32"/>
      <c r="AU61" s="32"/>
      <c r="AV61" s="21">
        <v>14</v>
      </c>
    </row>
    <row r="62" s="57" customFormat="1" ht="15" customHeight="1" spans="1:48">
      <c r="A62" s="40"/>
      <c r="B62" s="16" t="s">
        <v>108</v>
      </c>
      <c r="C62" s="17">
        <v>18</v>
      </c>
      <c r="D62" s="17"/>
      <c r="E62" s="17"/>
      <c r="F62" s="17">
        <v>15</v>
      </c>
      <c r="G62" s="17"/>
      <c r="H62" s="17"/>
      <c r="I62" s="17">
        <v>2</v>
      </c>
      <c r="J62" s="17"/>
      <c r="K62" s="17"/>
      <c r="L62" s="17">
        <v>2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>
        <v>1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>
        <v>1</v>
      </c>
      <c r="AQ62" s="17"/>
      <c r="AR62" s="17"/>
      <c r="AS62" s="17"/>
      <c r="AT62" s="17"/>
      <c r="AU62" s="17"/>
      <c r="AV62" s="21">
        <v>39</v>
      </c>
    </row>
    <row r="63" s="57" customFormat="1" ht="19.25" spans="1:48">
      <c r="A63" s="27" t="s">
        <v>109</v>
      </c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79"/>
    </row>
    <row r="64" s="57" customFormat="1" ht="15.25" spans="1:48">
      <c r="A64" s="15"/>
      <c r="B64" s="30" t="s">
        <v>110</v>
      </c>
      <c r="C64" s="69">
        <v>4</v>
      </c>
      <c r="D64" s="69">
        <v>3</v>
      </c>
      <c r="E64" s="69"/>
      <c r="F64" s="69">
        <v>2</v>
      </c>
      <c r="G64" s="69"/>
      <c r="H64" s="69"/>
      <c r="I64" s="69"/>
      <c r="J64" s="69"/>
      <c r="K64" s="69"/>
      <c r="L64" s="69"/>
      <c r="M64" s="69"/>
      <c r="N64" s="69"/>
      <c r="O64" s="69">
        <v>3</v>
      </c>
      <c r="P64" s="69">
        <v>2</v>
      </c>
      <c r="Q64" s="69"/>
      <c r="R64" s="69">
        <v>1</v>
      </c>
      <c r="S64" s="69">
        <v>1</v>
      </c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>
        <v>6</v>
      </c>
      <c r="AQ64" s="69">
        <v>4</v>
      </c>
      <c r="AR64" s="69"/>
      <c r="AS64" s="69"/>
      <c r="AT64" s="69"/>
      <c r="AU64" s="69"/>
      <c r="AV64" s="21">
        <v>16</v>
      </c>
    </row>
    <row r="65" s="57" customFormat="1" ht="15" customHeight="1" spans="1:48">
      <c r="A65" s="18" t="s">
        <v>111</v>
      </c>
      <c r="B65" s="19" t="s">
        <v>111</v>
      </c>
      <c r="C65" s="32">
        <v>84</v>
      </c>
      <c r="D65" s="32">
        <v>40</v>
      </c>
      <c r="E65" s="32"/>
      <c r="F65" s="32">
        <v>12</v>
      </c>
      <c r="G65" s="32">
        <v>14</v>
      </c>
      <c r="H65" s="32"/>
      <c r="I65" s="32">
        <v>5</v>
      </c>
      <c r="J65" s="32">
        <v>3</v>
      </c>
      <c r="K65" s="32"/>
      <c r="L65" s="32">
        <v>11</v>
      </c>
      <c r="M65" s="32">
        <v>9</v>
      </c>
      <c r="N65" s="32"/>
      <c r="O65" s="32">
        <v>12</v>
      </c>
      <c r="P65" s="32">
        <v>9</v>
      </c>
      <c r="Q65" s="32"/>
      <c r="R65" s="32">
        <v>2</v>
      </c>
      <c r="S65" s="32">
        <v>3</v>
      </c>
      <c r="T65" s="32"/>
      <c r="U65" s="32">
        <v>4</v>
      </c>
      <c r="V65" s="32">
        <v>1</v>
      </c>
      <c r="W65" s="32"/>
      <c r="X65" s="32">
        <v>13</v>
      </c>
      <c r="Y65" s="32">
        <v>17</v>
      </c>
      <c r="Z65" s="32"/>
      <c r="AA65" s="32"/>
      <c r="AB65" s="32"/>
      <c r="AC65" s="32"/>
      <c r="AD65" s="32">
        <v>1</v>
      </c>
      <c r="AE65" s="32"/>
      <c r="AF65" s="32"/>
      <c r="AG65" s="32"/>
      <c r="AH65" s="32">
        <v>1</v>
      </c>
      <c r="AI65" s="32"/>
      <c r="AJ65" s="32"/>
      <c r="AK65" s="32"/>
      <c r="AL65" s="32"/>
      <c r="AM65" s="32"/>
      <c r="AN65" s="32"/>
      <c r="AO65" s="32"/>
      <c r="AP65" s="32">
        <v>32</v>
      </c>
      <c r="AQ65" s="32">
        <v>27</v>
      </c>
      <c r="AR65" s="32"/>
      <c r="AS65" s="32"/>
      <c r="AT65" s="32"/>
      <c r="AU65" s="32"/>
      <c r="AV65" s="21">
        <v>176</v>
      </c>
    </row>
    <row r="66" s="57" customFormat="1" ht="15" customHeight="1" spans="1:48">
      <c r="A66" s="20"/>
      <c r="B66" s="16" t="s">
        <v>112</v>
      </c>
      <c r="C66" s="17">
        <v>2</v>
      </c>
      <c r="D66" s="17"/>
      <c r="E66" s="17"/>
      <c r="F66" s="17">
        <v>1</v>
      </c>
      <c r="G66" s="17"/>
      <c r="H66" s="17"/>
      <c r="I66" s="17"/>
      <c r="J66" s="17"/>
      <c r="K66" s="17"/>
      <c r="L66" s="17"/>
      <c r="M66" s="17"/>
      <c r="N66" s="17"/>
      <c r="O66" s="17">
        <v>2</v>
      </c>
      <c r="P66" s="17">
        <v>2</v>
      </c>
      <c r="Q66" s="17"/>
      <c r="R66" s="17"/>
      <c r="S66" s="17"/>
      <c r="T66" s="17"/>
      <c r="U66" s="17">
        <v>2</v>
      </c>
      <c r="V66" s="17">
        <v>2</v>
      </c>
      <c r="W66" s="17"/>
      <c r="X66" s="17">
        <v>3</v>
      </c>
      <c r="Y66" s="17">
        <v>3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>
        <v>1</v>
      </c>
      <c r="AQ66" s="17">
        <v>4</v>
      </c>
      <c r="AR66" s="17"/>
      <c r="AS66" s="17"/>
      <c r="AT66" s="17"/>
      <c r="AU66" s="17"/>
      <c r="AV66" s="21">
        <v>11</v>
      </c>
    </row>
    <row r="67" s="57" customFormat="1" ht="19.25" spans="1:48">
      <c r="A67" s="27" t="s">
        <v>113</v>
      </c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79"/>
    </row>
    <row r="68" s="57" customFormat="1" ht="15.25" spans="1:48">
      <c r="A68" s="15"/>
      <c r="B68" s="30" t="s">
        <v>114</v>
      </c>
      <c r="C68" s="69"/>
      <c r="D68" s="69"/>
      <c r="E68" s="69"/>
      <c r="F68" s="69">
        <v>5</v>
      </c>
      <c r="G68" s="69"/>
      <c r="H68" s="69"/>
      <c r="I68" s="69"/>
      <c r="J68" s="69"/>
      <c r="K68" s="69"/>
      <c r="L68" s="69"/>
      <c r="M68" s="69"/>
      <c r="N68" s="69"/>
      <c r="O68" s="69">
        <v>1</v>
      </c>
      <c r="P68" s="69"/>
      <c r="Q68" s="69"/>
      <c r="R68" s="69">
        <v>4</v>
      </c>
      <c r="S68" s="69"/>
      <c r="T68" s="69"/>
      <c r="U68" s="69"/>
      <c r="V68" s="69"/>
      <c r="W68" s="69"/>
      <c r="X68" s="69">
        <v>9</v>
      </c>
      <c r="Y68" s="69"/>
      <c r="Z68" s="69"/>
      <c r="AA68" s="69"/>
      <c r="AB68" s="69"/>
      <c r="AC68" s="69"/>
      <c r="AD68" s="69"/>
      <c r="AE68" s="69"/>
      <c r="AF68" s="69"/>
      <c r="AG68" s="69">
        <v>1</v>
      </c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21">
        <v>20</v>
      </c>
    </row>
    <row r="69" s="57" customFormat="1" ht="15" customHeight="1" spans="1:48">
      <c r="A69" s="18" t="s">
        <v>115</v>
      </c>
      <c r="B69" s="19" t="s">
        <v>116</v>
      </c>
      <c r="C69" s="32">
        <v>55</v>
      </c>
      <c r="D69" s="32">
        <v>20</v>
      </c>
      <c r="E69" s="32"/>
      <c r="F69" s="32">
        <v>31</v>
      </c>
      <c r="G69" s="32">
        <v>9</v>
      </c>
      <c r="H69" s="32"/>
      <c r="I69" s="32">
        <v>4</v>
      </c>
      <c r="J69" s="32">
        <v>1</v>
      </c>
      <c r="K69" s="32"/>
      <c r="L69" s="32">
        <v>3</v>
      </c>
      <c r="M69" s="32">
        <v>4</v>
      </c>
      <c r="N69" s="32"/>
      <c r="O69" s="32">
        <v>6</v>
      </c>
      <c r="P69" s="32">
        <v>3</v>
      </c>
      <c r="Q69" s="32"/>
      <c r="R69" s="32">
        <v>3</v>
      </c>
      <c r="S69" s="32">
        <v>1</v>
      </c>
      <c r="T69" s="32"/>
      <c r="U69" s="32">
        <v>1</v>
      </c>
      <c r="V69" s="32">
        <v>1</v>
      </c>
      <c r="W69" s="32"/>
      <c r="X69" s="32">
        <v>3</v>
      </c>
      <c r="Y69" s="32">
        <v>2</v>
      </c>
      <c r="Z69" s="32"/>
      <c r="AA69" s="32"/>
      <c r="AB69" s="32"/>
      <c r="AC69" s="32"/>
      <c r="AD69" s="32"/>
      <c r="AE69" s="32"/>
      <c r="AF69" s="32"/>
      <c r="AG69" s="32">
        <v>1</v>
      </c>
      <c r="AH69" s="32">
        <v>1</v>
      </c>
      <c r="AI69" s="32"/>
      <c r="AJ69" s="32"/>
      <c r="AK69" s="32"/>
      <c r="AL69" s="32"/>
      <c r="AM69" s="32"/>
      <c r="AN69" s="32"/>
      <c r="AO69" s="32"/>
      <c r="AP69" s="32">
        <v>23</v>
      </c>
      <c r="AQ69" s="32">
        <v>9</v>
      </c>
      <c r="AR69" s="32"/>
      <c r="AS69" s="32">
        <v>4</v>
      </c>
      <c r="AT69" s="32"/>
      <c r="AU69" s="32"/>
      <c r="AV69" s="21">
        <v>134</v>
      </c>
    </row>
    <row r="70" s="57" customFormat="1" ht="15" customHeight="1" spans="1:48">
      <c r="A70" s="20"/>
      <c r="B70" s="16" t="s">
        <v>117</v>
      </c>
      <c r="C70" s="17">
        <v>5</v>
      </c>
      <c r="D70" s="17"/>
      <c r="E70" s="17"/>
      <c r="F70" s="17">
        <v>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>
        <v>3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21">
        <v>10</v>
      </c>
    </row>
    <row r="71" s="57" customFormat="1" ht="15" customHeight="1" spans="1:48">
      <c r="A71" s="20"/>
      <c r="B71" s="16" t="s">
        <v>118</v>
      </c>
      <c r="C71" s="17">
        <v>6</v>
      </c>
      <c r="D71" s="17">
        <v>3</v>
      </c>
      <c r="E71" s="17"/>
      <c r="F71" s="17"/>
      <c r="G71" s="17">
        <v>1</v>
      </c>
      <c r="H71" s="17"/>
      <c r="I71" s="17"/>
      <c r="J71" s="17"/>
      <c r="K71" s="17"/>
      <c r="L71" s="17">
        <v>1</v>
      </c>
      <c r="M71" s="17">
        <v>1</v>
      </c>
      <c r="N71" s="17"/>
      <c r="O71" s="17"/>
      <c r="P71" s="17"/>
      <c r="Q71" s="17"/>
      <c r="R71" s="17"/>
      <c r="S71" s="17"/>
      <c r="T71" s="17"/>
      <c r="U71" s="17">
        <v>2</v>
      </c>
      <c r="V71" s="17">
        <v>2</v>
      </c>
      <c r="W71" s="17"/>
      <c r="X71" s="17"/>
      <c r="Y71" s="17">
        <v>1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>
        <v>2</v>
      </c>
      <c r="AQ71" s="17"/>
      <c r="AR71" s="17"/>
      <c r="AS71" s="17">
        <v>2</v>
      </c>
      <c r="AT71" s="17">
        <v>2</v>
      </c>
      <c r="AU71" s="17"/>
      <c r="AV71" s="21">
        <v>13</v>
      </c>
    </row>
    <row r="72" s="57" customFormat="1" ht="15" customHeight="1" spans="1:48">
      <c r="A72" s="20"/>
      <c r="B72" s="16" t="s">
        <v>119</v>
      </c>
      <c r="C72" s="17">
        <v>3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21">
        <v>3</v>
      </c>
    </row>
    <row r="73" s="57" customFormat="1" ht="15" customHeight="1" spans="1:48">
      <c r="A73" s="20"/>
      <c r="B73" s="16" t="s">
        <v>120</v>
      </c>
      <c r="C73" s="17">
        <v>1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21">
        <v>1</v>
      </c>
    </row>
    <row r="74" s="57" customFormat="1" ht="15" customHeight="1" spans="1:48">
      <c r="A74" s="20"/>
      <c r="B74" s="16" t="s">
        <v>121</v>
      </c>
      <c r="C74" s="17">
        <v>1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>
        <v>1</v>
      </c>
      <c r="AQ74" s="17"/>
      <c r="AR74" s="17"/>
      <c r="AS74" s="17"/>
      <c r="AT74" s="17"/>
      <c r="AU74" s="17"/>
      <c r="AV74" s="21">
        <v>2</v>
      </c>
    </row>
    <row r="75" s="57" customFormat="1" ht="19.25" spans="1:48">
      <c r="A75" s="27" t="s">
        <v>122</v>
      </c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79"/>
    </row>
    <row r="76" s="57" customFormat="1" spans="1:48">
      <c r="A76" s="15"/>
      <c r="B76" s="30" t="s">
        <v>123</v>
      </c>
      <c r="C76" s="69">
        <v>33</v>
      </c>
      <c r="D76" s="69"/>
      <c r="E76" s="69"/>
      <c r="F76" s="69">
        <v>20</v>
      </c>
      <c r="G76" s="69"/>
      <c r="H76" s="69"/>
      <c r="I76" s="69">
        <v>1</v>
      </c>
      <c r="J76" s="69"/>
      <c r="K76" s="69"/>
      <c r="L76" s="69">
        <v>2</v>
      </c>
      <c r="M76" s="69"/>
      <c r="N76" s="69"/>
      <c r="O76" s="69">
        <v>16</v>
      </c>
      <c r="P76" s="69"/>
      <c r="Q76" s="69"/>
      <c r="R76" s="69">
        <v>1</v>
      </c>
      <c r="S76" s="69"/>
      <c r="T76" s="69"/>
      <c r="U76" s="69">
        <v>5</v>
      </c>
      <c r="V76" s="69"/>
      <c r="W76" s="69"/>
      <c r="X76" s="69">
        <v>35</v>
      </c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>
        <v>40</v>
      </c>
      <c r="AQ76" s="69"/>
      <c r="AR76" s="69"/>
      <c r="AS76" s="69">
        <v>2</v>
      </c>
      <c r="AT76" s="69"/>
      <c r="AU76" s="69"/>
      <c r="AV76" s="21">
        <v>155</v>
      </c>
    </row>
    <row r="77" s="57" customFormat="1" spans="1:48">
      <c r="A77" s="15"/>
      <c r="B77" s="16" t="s">
        <v>124</v>
      </c>
      <c r="C77" s="17">
        <v>9</v>
      </c>
      <c r="D77" s="17">
        <v>7</v>
      </c>
      <c r="E77" s="17"/>
      <c r="F77" s="17">
        <v>6</v>
      </c>
      <c r="G77" s="17">
        <v>3</v>
      </c>
      <c r="H77" s="17"/>
      <c r="I77" s="17">
        <v>2</v>
      </c>
      <c r="J77" s="17"/>
      <c r="K77" s="17"/>
      <c r="L77" s="17">
        <v>1</v>
      </c>
      <c r="M77" s="17">
        <v>1</v>
      </c>
      <c r="N77" s="17"/>
      <c r="O77" s="17"/>
      <c r="P77" s="17"/>
      <c r="Q77" s="17"/>
      <c r="R77" s="17"/>
      <c r="S77" s="17">
        <v>2</v>
      </c>
      <c r="T77" s="17"/>
      <c r="U77" s="17"/>
      <c r="V77" s="17"/>
      <c r="W77" s="17"/>
      <c r="X77" s="17">
        <v>8</v>
      </c>
      <c r="Y77" s="17">
        <v>7</v>
      </c>
      <c r="Z77" s="17"/>
      <c r="AA77" s="17"/>
      <c r="AB77" s="17"/>
      <c r="AC77" s="17"/>
      <c r="AD77" s="17">
        <v>1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>
        <v>18</v>
      </c>
      <c r="AQ77" s="17">
        <v>10</v>
      </c>
      <c r="AR77" s="17"/>
      <c r="AS77" s="17"/>
      <c r="AT77" s="17"/>
      <c r="AU77" s="17"/>
      <c r="AV77" s="21">
        <v>45</v>
      </c>
    </row>
    <row r="78" s="57" customFormat="1" spans="1:48">
      <c r="A78" s="15"/>
      <c r="B78" s="16" t="s">
        <v>125</v>
      </c>
      <c r="C78" s="17">
        <v>22</v>
      </c>
      <c r="D78" s="17">
        <v>23</v>
      </c>
      <c r="E78" s="17"/>
      <c r="F78" s="17">
        <v>9</v>
      </c>
      <c r="G78" s="17">
        <v>7</v>
      </c>
      <c r="H78" s="17"/>
      <c r="I78" s="17">
        <v>2</v>
      </c>
      <c r="J78" s="17">
        <v>1</v>
      </c>
      <c r="K78" s="17"/>
      <c r="L78" s="17">
        <v>2</v>
      </c>
      <c r="M78" s="17">
        <v>2</v>
      </c>
      <c r="N78" s="17"/>
      <c r="O78" s="17">
        <v>5</v>
      </c>
      <c r="P78" s="17">
        <v>3</v>
      </c>
      <c r="Q78" s="17"/>
      <c r="R78" s="17">
        <v>1</v>
      </c>
      <c r="S78" s="17">
        <v>1</v>
      </c>
      <c r="T78" s="17"/>
      <c r="U78" s="17"/>
      <c r="V78" s="17"/>
      <c r="W78" s="17"/>
      <c r="X78" s="17">
        <v>4</v>
      </c>
      <c r="Y78" s="17">
        <v>4</v>
      </c>
      <c r="Z78" s="17"/>
      <c r="AA78" s="17"/>
      <c r="AB78" s="17"/>
      <c r="AC78" s="17"/>
      <c r="AD78" s="17">
        <v>2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>
        <v>26</v>
      </c>
      <c r="AQ78" s="17">
        <v>25</v>
      </c>
      <c r="AR78" s="17"/>
      <c r="AS78" s="17"/>
      <c r="AT78" s="17"/>
      <c r="AU78" s="17"/>
      <c r="AV78" s="21">
        <v>73</v>
      </c>
    </row>
    <row r="79" s="57" customFormat="1" spans="1:48">
      <c r="A79" s="15"/>
      <c r="B79" s="16" t="s">
        <v>126</v>
      </c>
      <c r="C79" s="17">
        <v>8</v>
      </c>
      <c r="D79" s="17">
        <v>4</v>
      </c>
      <c r="E79" s="17"/>
      <c r="F79" s="17">
        <v>4</v>
      </c>
      <c r="G79" s="17">
        <v>4</v>
      </c>
      <c r="H79" s="17"/>
      <c r="I79" s="17">
        <v>1</v>
      </c>
      <c r="J79" s="17">
        <v>1</v>
      </c>
      <c r="K79" s="17"/>
      <c r="L79" s="17">
        <v>2</v>
      </c>
      <c r="M79" s="17">
        <v>1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>
        <v>1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>
        <v>4</v>
      </c>
      <c r="AQ79" s="17">
        <v>5</v>
      </c>
      <c r="AR79" s="17"/>
      <c r="AS79" s="17">
        <v>3</v>
      </c>
      <c r="AT79" s="17"/>
      <c r="AU79" s="17"/>
      <c r="AV79" s="21">
        <v>23</v>
      </c>
    </row>
    <row r="80" s="57" customFormat="1" spans="1:48">
      <c r="A80" s="15"/>
      <c r="B80" s="16" t="s">
        <v>127</v>
      </c>
      <c r="C80" s="17">
        <v>7</v>
      </c>
      <c r="D80" s="17"/>
      <c r="E80" s="17"/>
      <c r="F80" s="17">
        <v>3</v>
      </c>
      <c r="G80" s="17">
        <v>2</v>
      </c>
      <c r="H80" s="17"/>
      <c r="I80" s="17"/>
      <c r="J80" s="17"/>
      <c r="K80" s="17"/>
      <c r="L80" s="17">
        <v>1</v>
      </c>
      <c r="M80" s="17"/>
      <c r="N80" s="17"/>
      <c r="O80" s="17">
        <v>2</v>
      </c>
      <c r="P80" s="17"/>
      <c r="Q80" s="17"/>
      <c r="R80" s="17"/>
      <c r="S80" s="17"/>
      <c r="T80" s="17"/>
      <c r="U80" s="17"/>
      <c r="V80" s="17"/>
      <c r="W80" s="17"/>
      <c r="X80" s="17">
        <v>3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>
        <v>2</v>
      </c>
      <c r="AQ80" s="17">
        <v>1</v>
      </c>
      <c r="AR80" s="17"/>
      <c r="AS80" s="17"/>
      <c r="AT80" s="17"/>
      <c r="AU80" s="17"/>
      <c r="AV80" s="21">
        <v>18</v>
      </c>
    </row>
    <row r="81" s="57" customFormat="1" ht="15.25" spans="1:48">
      <c r="A81" s="15"/>
      <c r="B81" s="16" t="s">
        <v>128</v>
      </c>
      <c r="C81" s="17">
        <v>117</v>
      </c>
      <c r="D81" s="17">
        <v>81</v>
      </c>
      <c r="E81" s="17"/>
      <c r="F81" s="17">
        <v>88</v>
      </c>
      <c r="G81" s="17">
        <v>65</v>
      </c>
      <c r="H81" s="17"/>
      <c r="I81" s="17"/>
      <c r="J81" s="17"/>
      <c r="K81" s="17"/>
      <c r="L81" s="17">
        <v>4</v>
      </c>
      <c r="M81" s="17">
        <v>3</v>
      </c>
      <c r="N81" s="17"/>
      <c r="O81" s="17">
        <v>4</v>
      </c>
      <c r="P81" s="17">
        <v>5</v>
      </c>
      <c r="Q81" s="17"/>
      <c r="R81" s="17">
        <v>1</v>
      </c>
      <c r="S81" s="17">
        <v>5</v>
      </c>
      <c r="T81" s="17"/>
      <c r="U81" s="17">
        <v>7</v>
      </c>
      <c r="V81" s="17">
        <v>3</v>
      </c>
      <c r="W81" s="17"/>
      <c r="X81" s="17">
        <v>22</v>
      </c>
      <c r="Y81" s="17">
        <v>21</v>
      </c>
      <c r="Z81" s="17"/>
      <c r="AA81" s="17"/>
      <c r="AB81" s="17"/>
      <c r="AC81" s="17"/>
      <c r="AD81" s="17">
        <v>1</v>
      </c>
      <c r="AE81" s="17"/>
      <c r="AF81" s="17"/>
      <c r="AG81" s="17">
        <v>33</v>
      </c>
      <c r="AH81" s="17">
        <v>14</v>
      </c>
      <c r="AI81" s="17"/>
      <c r="AJ81" s="17"/>
      <c r="AK81" s="17"/>
      <c r="AL81" s="17"/>
      <c r="AM81" s="17"/>
      <c r="AN81" s="17"/>
      <c r="AO81" s="17"/>
      <c r="AP81" s="17">
        <v>24</v>
      </c>
      <c r="AQ81" s="17">
        <v>3</v>
      </c>
      <c r="AR81" s="17"/>
      <c r="AS81" s="17"/>
      <c r="AT81" s="17"/>
      <c r="AU81" s="17"/>
      <c r="AV81" s="21">
        <v>301</v>
      </c>
    </row>
    <row r="82" s="57" customFormat="1" ht="15" customHeight="1" spans="1:48">
      <c r="A82" s="18" t="s">
        <v>129</v>
      </c>
      <c r="B82" s="19" t="s">
        <v>130</v>
      </c>
      <c r="C82" s="32">
        <v>43</v>
      </c>
      <c r="D82" s="32"/>
      <c r="E82" s="32"/>
      <c r="F82" s="32">
        <v>5</v>
      </c>
      <c r="G82" s="32"/>
      <c r="H82" s="32"/>
      <c r="I82" s="32">
        <v>9</v>
      </c>
      <c r="J82" s="32"/>
      <c r="K82" s="32"/>
      <c r="L82" s="32">
        <v>6</v>
      </c>
      <c r="M82" s="32"/>
      <c r="N82" s="32"/>
      <c r="O82" s="32">
        <v>16</v>
      </c>
      <c r="P82" s="32"/>
      <c r="Q82" s="32"/>
      <c r="R82" s="32">
        <v>4</v>
      </c>
      <c r="S82" s="32"/>
      <c r="T82" s="32"/>
      <c r="U82" s="32"/>
      <c r="V82" s="32"/>
      <c r="W82" s="32"/>
      <c r="X82" s="32">
        <v>11</v>
      </c>
      <c r="Y82" s="32"/>
      <c r="Z82" s="32"/>
      <c r="AA82" s="32"/>
      <c r="AB82" s="32"/>
      <c r="AC82" s="32"/>
      <c r="AD82" s="32"/>
      <c r="AE82" s="32"/>
      <c r="AF82" s="32"/>
      <c r="AG82" s="32">
        <v>2</v>
      </c>
      <c r="AH82" s="32"/>
      <c r="AI82" s="32"/>
      <c r="AJ82" s="32"/>
      <c r="AK82" s="32"/>
      <c r="AL82" s="32"/>
      <c r="AM82" s="32"/>
      <c r="AN82" s="32"/>
      <c r="AO82" s="32"/>
      <c r="AP82" s="32">
        <v>33</v>
      </c>
      <c r="AQ82" s="32"/>
      <c r="AR82" s="32"/>
      <c r="AS82" s="32">
        <v>2</v>
      </c>
      <c r="AT82" s="32"/>
      <c r="AU82" s="32"/>
      <c r="AV82" s="21">
        <v>131</v>
      </c>
    </row>
    <row r="83" s="57" customFormat="1" ht="15" customHeight="1" spans="1:48">
      <c r="A83" s="20"/>
      <c r="B83" s="16" t="s">
        <v>131</v>
      </c>
      <c r="C83" s="17">
        <v>4</v>
      </c>
      <c r="D83" s="17"/>
      <c r="E83" s="17"/>
      <c r="F83" s="17">
        <v>3</v>
      </c>
      <c r="G83" s="17"/>
      <c r="H83" s="17"/>
      <c r="I83" s="17">
        <v>1</v>
      </c>
      <c r="J83" s="17"/>
      <c r="K83" s="17"/>
      <c r="L83" s="17">
        <v>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21">
        <v>9</v>
      </c>
    </row>
    <row r="84" s="57" customFormat="1" ht="19.25" spans="1:48">
      <c r="A84" s="27" t="s">
        <v>132</v>
      </c>
      <c r="B84" s="2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79"/>
    </row>
    <row r="85" s="57" customFormat="1" spans="1:48">
      <c r="A85" s="15"/>
      <c r="B85" s="16" t="s">
        <v>133</v>
      </c>
      <c r="C85" s="17">
        <v>12</v>
      </c>
      <c r="D85" s="17">
        <v>1</v>
      </c>
      <c r="E85" s="17"/>
      <c r="F85" s="17">
        <v>5</v>
      </c>
      <c r="G85" s="17">
        <v>3</v>
      </c>
      <c r="H85" s="17"/>
      <c r="I85" s="17">
        <v>3</v>
      </c>
      <c r="J85" s="17">
        <v>1</v>
      </c>
      <c r="K85" s="17"/>
      <c r="L85" s="17"/>
      <c r="M85" s="17"/>
      <c r="N85" s="17"/>
      <c r="O85" s="17"/>
      <c r="P85" s="17"/>
      <c r="Q85" s="17"/>
      <c r="R85" s="17">
        <v>1</v>
      </c>
      <c r="S85" s="17"/>
      <c r="T85" s="17"/>
      <c r="U85" s="17"/>
      <c r="V85" s="17"/>
      <c r="W85" s="17"/>
      <c r="X85" s="17">
        <v>6</v>
      </c>
      <c r="Y85" s="17">
        <v>1</v>
      </c>
      <c r="Z85" s="17"/>
      <c r="AA85" s="17"/>
      <c r="AB85" s="17"/>
      <c r="AC85" s="17"/>
      <c r="AD85" s="17"/>
      <c r="AE85" s="17"/>
      <c r="AF85" s="17"/>
      <c r="AG85" s="17">
        <v>1</v>
      </c>
      <c r="AH85" s="17"/>
      <c r="AI85" s="17"/>
      <c r="AJ85" s="17"/>
      <c r="AK85" s="17"/>
      <c r="AL85" s="17"/>
      <c r="AM85" s="17"/>
      <c r="AN85" s="17"/>
      <c r="AO85" s="17"/>
      <c r="AP85" s="17">
        <v>20</v>
      </c>
      <c r="AQ85" s="17">
        <v>3</v>
      </c>
      <c r="AR85" s="17"/>
      <c r="AS85" s="17"/>
      <c r="AT85" s="17"/>
      <c r="AU85" s="17"/>
      <c r="AV85" s="21">
        <v>48</v>
      </c>
    </row>
    <row r="86" s="57" customFormat="1" spans="1:48">
      <c r="A86" s="15"/>
      <c r="B86" s="16" t="s">
        <v>134</v>
      </c>
      <c r="C86" s="17">
        <v>58</v>
      </c>
      <c r="D86" s="17">
        <v>34</v>
      </c>
      <c r="E86" s="17"/>
      <c r="F86" s="17">
        <v>9</v>
      </c>
      <c r="G86" s="17">
        <v>7</v>
      </c>
      <c r="H86" s="17"/>
      <c r="I86" s="17">
        <v>5</v>
      </c>
      <c r="J86" s="17">
        <v>4</v>
      </c>
      <c r="K86" s="17"/>
      <c r="L86" s="17">
        <v>11</v>
      </c>
      <c r="M86" s="17">
        <v>10</v>
      </c>
      <c r="N86" s="17"/>
      <c r="O86" s="17">
        <v>1</v>
      </c>
      <c r="P86" s="17">
        <v>1</v>
      </c>
      <c r="Q86" s="17"/>
      <c r="R86" s="17">
        <v>6</v>
      </c>
      <c r="S86" s="17">
        <v>6</v>
      </c>
      <c r="T86" s="17"/>
      <c r="U86" s="17">
        <v>2</v>
      </c>
      <c r="V86" s="17">
        <v>1</v>
      </c>
      <c r="W86" s="17"/>
      <c r="X86" s="17">
        <v>19</v>
      </c>
      <c r="Y86" s="17">
        <v>18</v>
      </c>
      <c r="Z86" s="17"/>
      <c r="AA86" s="17"/>
      <c r="AB86" s="17"/>
      <c r="AC86" s="17"/>
      <c r="AD86" s="17">
        <v>2</v>
      </c>
      <c r="AE86" s="17"/>
      <c r="AF86" s="17"/>
      <c r="AG86" s="17">
        <v>1</v>
      </c>
      <c r="AH86" s="17">
        <v>1</v>
      </c>
      <c r="AI86" s="17"/>
      <c r="AJ86" s="17"/>
      <c r="AK86" s="17"/>
      <c r="AL86" s="17"/>
      <c r="AM86" s="17"/>
      <c r="AN86" s="17"/>
      <c r="AO86" s="17"/>
      <c r="AP86" s="17">
        <v>22</v>
      </c>
      <c r="AQ86" s="17">
        <v>15</v>
      </c>
      <c r="AR86" s="17"/>
      <c r="AS86" s="17">
        <v>5</v>
      </c>
      <c r="AT86" s="17">
        <v>5</v>
      </c>
      <c r="AU86" s="17"/>
      <c r="AV86" s="21">
        <v>141</v>
      </c>
    </row>
    <row r="87" s="57" customFormat="1" ht="15.25" spans="1:48">
      <c r="A87" s="15"/>
      <c r="B87" s="16" t="s">
        <v>135</v>
      </c>
      <c r="C87" s="17">
        <v>11</v>
      </c>
      <c r="D87" s="17">
        <v>3</v>
      </c>
      <c r="E87" s="17"/>
      <c r="F87" s="17">
        <v>1</v>
      </c>
      <c r="G87" s="17"/>
      <c r="H87" s="17"/>
      <c r="I87" s="17">
        <v>1</v>
      </c>
      <c r="J87" s="17"/>
      <c r="K87" s="17"/>
      <c r="L87" s="17"/>
      <c r="M87" s="17"/>
      <c r="N87" s="17"/>
      <c r="O87" s="17">
        <v>3</v>
      </c>
      <c r="P87" s="17"/>
      <c r="Q87" s="17"/>
      <c r="R87" s="17"/>
      <c r="S87" s="17"/>
      <c r="T87" s="17"/>
      <c r="U87" s="17"/>
      <c r="V87" s="17"/>
      <c r="W87" s="17"/>
      <c r="X87" s="17">
        <v>4</v>
      </c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>
        <v>13</v>
      </c>
      <c r="AQ87" s="17">
        <v>2</v>
      </c>
      <c r="AR87" s="17"/>
      <c r="AS87" s="17"/>
      <c r="AT87" s="17"/>
      <c r="AU87" s="17"/>
      <c r="AV87" s="21">
        <v>33</v>
      </c>
    </row>
    <row r="88" s="57" customFormat="1" ht="15" customHeight="1" spans="1:48">
      <c r="A88" s="18" t="s">
        <v>136</v>
      </c>
      <c r="B88" s="19" t="s">
        <v>137</v>
      </c>
      <c r="C88" s="32">
        <v>5</v>
      </c>
      <c r="D88" s="32">
        <v>3</v>
      </c>
      <c r="E88" s="32"/>
      <c r="F88" s="32">
        <v>2</v>
      </c>
      <c r="G88" s="32">
        <v>4</v>
      </c>
      <c r="H88" s="32"/>
      <c r="I88" s="32"/>
      <c r="J88" s="32"/>
      <c r="K88" s="32"/>
      <c r="L88" s="32"/>
      <c r="M88" s="32"/>
      <c r="N88" s="32"/>
      <c r="O88" s="32">
        <v>1</v>
      </c>
      <c r="P88" s="32"/>
      <c r="Q88" s="32"/>
      <c r="R88" s="32">
        <v>1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>
        <v>3</v>
      </c>
      <c r="AR88" s="32"/>
      <c r="AS88" s="32"/>
      <c r="AT88" s="32"/>
      <c r="AU88" s="32"/>
      <c r="AV88" s="21">
        <v>9</v>
      </c>
    </row>
    <row r="89" s="57" customFormat="1" ht="15" customHeight="1" spans="1:48">
      <c r="A89" s="20"/>
      <c r="B89" s="16" t="s">
        <v>138</v>
      </c>
      <c r="C89" s="17">
        <v>7</v>
      </c>
      <c r="D89" s="17">
        <v>6</v>
      </c>
      <c r="E89" s="17"/>
      <c r="F89" s="17">
        <v>3</v>
      </c>
      <c r="G89" s="17">
        <v>4</v>
      </c>
      <c r="H89" s="17"/>
      <c r="I89" s="17">
        <v>1</v>
      </c>
      <c r="J89" s="17">
        <v>1</v>
      </c>
      <c r="K89" s="17"/>
      <c r="L89" s="17">
        <v>1</v>
      </c>
      <c r="M89" s="17">
        <v>1</v>
      </c>
      <c r="N89" s="17"/>
      <c r="O89" s="17">
        <v>1</v>
      </c>
      <c r="P89" s="17">
        <v>1</v>
      </c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>
        <v>7</v>
      </c>
      <c r="AQ89" s="17">
        <v>5</v>
      </c>
      <c r="AR89" s="17"/>
      <c r="AS89" s="17"/>
      <c r="AT89" s="17"/>
      <c r="AU89" s="17"/>
      <c r="AV89" s="21">
        <v>20</v>
      </c>
    </row>
    <row r="90" s="57" customFormat="1" ht="15" customHeight="1" spans="1:48">
      <c r="A90" s="20"/>
      <c r="B90" s="16" t="s">
        <v>139</v>
      </c>
      <c r="C90" s="17">
        <v>3</v>
      </c>
      <c r="D90" s="17"/>
      <c r="E90" s="17"/>
      <c r="F90" s="17"/>
      <c r="G90" s="17"/>
      <c r="H90" s="17"/>
      <c r="I90" s="17">
        <v>1</v>
      </c>
      <c r="J90" s="17"/>
      <c r="K90" s="17"/>
      <c r="L90" s="17">
        <v>1</v>
      </c>
      <c r="M90" s="17">
        <v>1</v>
      </c>
      <c r="N90" s="17"/>
      <c r="O90" s="17">
        <v>1</v>
      </c>
      <c r="P90" s="17">
        <v>1</v>
      </c>
      <c r="Q90" s="17"/>
      <c r="R90" s="17"/>
      <c r="S90" s="17"/>
      <c r="T90" s="17"/>
      <c r="U90" s="17"/>
      <c r="V90" s="17"/>
      <c r="W90" s="17"/>
      <c r="X90" s="17">
        <v>4</v>
      </c>
      <c r="Y90" s="17">
        <v>3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>
        <v>2</v>
      </c>
      <c r="AQ90" s="17">
        <v>2</v>
      </c>
      <c r="AR90" s="17"/>
      <c r="AS90" s="17"/>
      <c r="AT90" s="17"/>
      <c r="AU90" s="17"/>
      <c r="AV90" s="21">
        <v>12</v>
      </c>
    </row>
    <row r="91" s="57" customFormat="1" ht="19.25" spans="1:48">
      <c r="A91" s="22" t="s">
        <v>140</v>
      </c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79"/>
    </row>
    <row r="92" s="57" customFormat="1" spans="1:48">
      <c r="A92" s="15"/>
      <c r="B92" s="30" t="s">
        <v>141</v>
      </c>
      <c r="C92" s="69">
        <v>7</v>
      </c>
      <c r="D92" s="69">
        <v>13</v>
      </c>
      <c r="E92" s="69"/>
      <c r="F92" s="69"/>
      <c r="G92" s="69">
        <v>1</v>
      </c>
      <c r="H92" s="69"/>
      <c r="I92" s="69">
        <v>1</v>
      </c>
      <c r="J92" s="69">
        <v>1</v>
      </c>
      <c r="K92" s="69"/>
      <c r="L92" s="69"/>
      <c r="M92" s="69"/>
      <c r="N92" s="69"/>
      <c r="O92" s="69">
        <v>2</v>
      </c>
      <c r="P92" s="69">
        <v>2</v>
      </c>
      <c r="Q92" s="69"/>
      <c r="R92" s="69"/>
      <c r="S92" s="69"/>
      <c r="T92" s="69"/>
      <c r="U92" s="69">
        <v>1</v>
      </c>
      <c r="V92" s="69">
        <v>1</v>
      </c>
      <c r="W92" s="69"/>
      <c r="X92" s="69">
        <v>1</v>
      </c>
      <c r="Y92" s="69">
        <v>1</v>
      </c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>
        <v>8</v>
      </c>
      <c r="AQ92" s="69">
        <v>11</v>
      </c>
      <c r="AR92" s="69"/>
      <c r="AS92" s="69"/>
      <c r="AT92" s="69"/>
      <c r="AU92" s="69"/>
      <c r="AV92" s="21">
        <v>20</v>
      </c>
    </row>
    <row r="93" s="57" customFormat="1" spans="1:48">
      <c r="A93" s="15"/>
      <c r="B93" s="16" t="s">
        <v>142</v>
      </c>
      <c r="C93" s="17">
        <v>10</v>
      </c>
      <c r="D93" s="17">
        <v>13</v>
      </c>
      <c r="E93" s="17"/>
      <c r="F93" s="17">
        <v>7</v>
      </c>
      <c r="G93" s="17">
        <v>7</v>
      </c>
      <c r="H93" s="17"/>
      <c r="I93" s="17">
        <v>2</v>
      </c>
      <c r="J93" s="17">
        <v>1</v>
      </c>
      <c r="K93" s="17"/>
      <c r="L93" s="17">
        <v>2</v>
      </c>
      <c r="M93" s="17">
        <v>2</v>
      </c>
      <c r="N93" s="17"/>
      <c r="O93" s="17">
        <v>2</v>
      </c>
      <c r="P93" s="17">
        <v>2</v>
      </c>
      <c r="Q93" s="17"/>
      <c r="R93" s="17">
        <v>1</v>
      </c>
      <c r="S93" s="17">
        <v>1</v>
      </c>
      <c r="T93" s="17"/>
      <c r="U93" s="17"/>
      <c r="V93" s="17"/>
      <c r="W93" s="17"/>
      <c r="X93" s="17"/>
      <c r="Y93" s="17">
        <v>1</v>
      </c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>
        <v>25</v>
      </c>
      <c r="AQ93" s="17">
        <v>20</v>
      </c>
      <c r="AR93" s="17"/>
      <c r="AS93" s="17"/>
      <c r="AT93" s="17"/>
      <c r="AU93" s="17"/>
      <c r="AV93" s="21">
        <v>49</v>
      </c>
    </row>
    <row r="94" s="57" customFormat="1" spans="1:48">
      <c r="A94" s="15"/>
      <c r="B94" s="16" t="s">
        <v>143</v>
      </c>
      <c r="C94" s="17">
        <v>17</v>
      </c>
      <c r="D94" s="17">
        <v>17</v>
      </c>
      <c r="E94" s="17"/>
      <c r="F94" s="17">
        <v>3</v>
      </c>
      <c r="G94" s="17"/>
      <c r="H94" s="17"/>
      <c r="I94" s="17">
        <v>2</v>
      </c>
      <c r="J94" s="17">
        <v>1</v>
      </c>
      <c r="K94" s="17"/>
      <c r="L94" s="17"/>
      <c r="M94" s="17">
        <v>1</v>
      </c>
      <c r="N94" s="17"/>
      <c r="O94" s="17">
        <v>3</v>
      </c>
      <c r="P94" s="17">
        <v>2</v>
      </c>
      <c r="Q94" s="17"/>
      <c r="R94" s="17">
        <v>1</v>
      </c>
      <c r="S94" s="17">
        <v>1</v>
      </c>
      <c r="T94" s="17"/>
      <c r="U94" s="17">
        <v>1</v>
      </c>
      <c r="V94" s="17">
        <v>1</v>
      </c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>
        <v>19</v>
      </c>
      <c r="AQ94" s="17">
        <v>7</v>
      </c>
      <c r="AR94" s="17"/>
      <c r="AS94" s="17"/>
      <c r="AT94" s="17"/>
      <c r="AU94" s="17"/>
      <c r="AV94" s="21">
        <v>46</v>
      </c>
    </row>
    <row r="95" s="57" customFormat="1" spans="1:48">
      <c r="A95" s="15"/>
      <c r="B95" s="16" t="s">
        <v>144</v>
      </c>
      <c r="C95" s="17">
        <v>19</v>
      </c>
      <c r="D95" s="17">
        <v>12</v>
      </c>
      <c r="E95" s="17"/>
      <c r="F95" s="17">
        <v>5</v>
      </c>
      <c r="G95" s="17">
        <v>5</v>
      </c>
      <c r="H95" s="17"/>
      <c r="I95" s="17">
        <v>1</v>
      </c>
      <c r="J95" s="17">
        <v>1</v>
      </c>
      <c r="K95" s="17"/>
      <c r="L95" s="17">
        <v>1</v>
      </c>
      <c r="M95" s="17">
        <v>1</v>
      </c>
      <c r="N95" s="17"/>
      <c r="O95" s="17">
        <v>5</v>
      </c>
      <c r="P95" s="17">
        <v>5</v>
      </c>
      <c r="Q95" s="17"/>
      <c r="R95" s="17">
        <v>1</v>
      </c>
      <c r="S95" s="17">
        <v>1</v>
      </c>
      <c r="T95" s="17"/>
      <c r="U95" s="17">
        <v>2</v>
      </c>
      <c r="V95" s="17">
        <v>1</v>
      </c>
      <c r="W95" s="17"/>
      <c r="X95" s="17"/>
      <c r="Y95" s="17">
        <v>4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>
        <v>20</v>
      </c>
      <c r="AQ95" s="17">
        <v>18</v>
      </c>
      <c r="AR95" s="17"/>
      <c r="AS95" s="17"/>
      <c r="AT95" s="17"/>
      <c r="AU95" s="17"/>
      <c r="AV95" s="21">
        <v>54</v>
      </c>
    </row>
    <row r="96" s="57" customFormat="1" spans="1:48">
      <c r="A96" s="15"/>
      <c r="B96" s="16" t="s">
        <v>145</v>
      </c>
      <c r="C96" s="17">
        <v>6</v>
      </c>
      <c r="D96" s="17"/>
      <c r="E96" s="17"/>
      <c r="F96" s="17">
        <v>3</v>
      </c>
      <c r="G96" s="17"/>
      <c r="H96" s="17"/>
      <c r="I96" s="17">
        <v>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21">
        <v>10</v>
      </c>
    </row>
    <row r="97" s="57" customFormat="1" spans="1:48">
      <c r="A97" s="15"/>
      <c r="B97" s="16" t="s">
        <v>146</v>
      </c>
      <c r="C97" s="17">
        <v>15</v>
      </c>
      <c r="D97" s="17"/>
      <c r="E97" s="17"/>
      <c r="F97" s="17">
        <v>5</v>
      </c>
      <c r="G97" s="17"/>
      <c r="H97" s="17"/>
      <c r="I97" s="17">
        <v>1</v>
      </c>
      <c r="J97" s="17"/>
      <c r="K97" s="17"/>
      <c r="L97" s="17">
        <v>3</v>
      </c>
      <c r="M97" s="17"/>
      <c r="N97" s="17"/>
      <c r="O97" s="17">
        <v>4</v>
      </c>
      <c r="P97" s="17"/>
      <c r="Q97" s="17"/>
      <c r="R97" s="17">
        <v>1</v>
      </c>
      <c r="S97" s="17"/>
      <c r="T97" s="17"/>
      <c r="U97" s="17">
        <v>1</v>
      </c>
      <c r="V97" s="17"/>
      <c r="W97" s="17"/>
      <c r="X97" s="17">
        <v>8</v>
      </c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>
        <v>25</v>
      </c>
      <c r="AQ97" s="17"/>
      <c r="AR97" s="17"/>
      <c r="AS97" s="17">
        <v>1</v>
      </c>
      <c r="AT97" s="17"/>
      <c r="AU97" s="17"/>
      <c r="AV97" s="21">
        <v>64</v>
      </c>
    </row>
    <row r="98" s="57" customFormat="1" ht="15.25" spans="1:48">
      <c r="A98" s="15"/>
      <c r="B98" s="16" t="s">
        <v>147</v>
      </c>
      <c r="C98" s="17">
        <v>30</v>
      </c>
      <c r="D98" s="17">
        <v>32</v>
      </c>
      <c r="E98" s="17"/>
      <c r="F98" s="17">
        <v>9</v>
      </c>
      <c r="G98" s="17">
        <v>10</v>
      </c>
      <c r="H98" s="17"/>
      <c r="I98" s="17">
        <v>4</v>
      </c>
      <c r="J98" s="17">
        <v>4</v>
      </c>
      <c r="K98" s="17"/>
      <c r="L98" s="17"/>
      <c r="M98" s="17">
        <v>3</v>
      </c>
      <c r="N98" s="17"/>
      <c r="O98" s="17">
        <v>5</v>
      </c>
      <c r="P98" s="17">
        <v>3</v>
      </c>
      <c r="Q98" s="17"/>
      <c r="R98" s="17">
        <v>1</v>
      </c>
      <c r="S98" s="17">
        <v>1</v>
      </c>
      <c r="T98" s="17"/>
      <c r="U98" s="17">
        <v>1</v>
      </c>
      <c r="V98" s="17"/>
      <c r="W98" s="17"/>
      <c r="X98" s="17">
        <v>5</v>
      </c>
      <c r="Y98" s="17">
        <v>3</v>
      </c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>
        <v>30</v>
      </c>
      <c r="AQ98" s="17">
        <v>30</v>
      </c>
      <c r="AR98" s="17"/>
      <c r="AS98" s="17"/>
      <c r="AT98" s="17"/>
      <c r="AU98" s="17"/>
      <c r="AV98" s="21">
        <v>85</v>
      </c>
    </row>
    <row r="99" s="57" customFormat="1" ht="15" customHeight="1" spans="1:48">
      <c r="A99" s="36" t="s">
        <v>148</v>
      </c>
      <c r="B99" s="19" t="s">
        <v>149</v>
      </c>
      <c r="C99" s="32">
        <v>36</v>
      </c>
      <c r="D99" s="32"/>
      <c r="E99" s="32"/>
      <c r="F99" s="32">
        <v>9</v>
      </c>
      <c r="G99" s="32"/>
      <c r="H99" s="32"/>
      <c r="I99" s="32"/>
      <c r="J99" s="32"/>
      <c r="K99" s="32"/>
      <c r="L99" s="32">
        <v>2</v>
      </c>
      <c r="M99" s="32"/>
      <c r="N99" s="32"/>
      <c r="O99" s="32">
        <v>4</v>
      </c>
      <c r="P99" s="32"/>
      <c r="Q99" s="32"/>
      <c r="R99" s="32">
        <v>1</v>
      </c>
      <c r="S99" s="32"/>
      <c r="T99" s="32"/>
      <c r="U99" s="32">
        <v>3</v>
      </c>
      <c r="V99" s="32"/>
      <c r="W99" s="32"/>
      <c r="X99" s="32">
        <v>9</v>
      </c>
      <c r="Y99" s="32"/>
      <c r="Z99" s="32"/>
      <c r="AA99" s="32"/>
      <c r="AB99" s="32"/>
      <c r="AC99" s="32"/>
      <c r="AD99" s="32"/>
      <c r="AE99" s="32"/>
      <c r="AF99" s="32"/>
      <c r="AG99" s="32">
        <v>1</v>
      </c>
      <c r="AH99" s="32"/>
      <c r="AI99" s="32"/>
      <c r="AJ99" s="32"/>
      <c r="AK99" s="32"/>
      <c r="AL99" s="32"/>
      <c r="AM99" s="32"/>
      <c r="AN99" s="32"/>
      <c r="AO99" s="32"/>
      <c r="AP99" s="32">
        <v>22</v>
      </c>
      <c r="AQ99" s="32"/>
      <c r="AR99" s="32"/>
      <c r="AS99" s="32"/>
      <c r="AT99" s="32"/>
      <c r="AU99" s="32"/>
      <c r="AV99" s="21">
        <v>87</v>
      </c>
    </row>
    <row r="100" s="57" customFormat="1" ht="15" customHeight="1" spans="1:48">
      <c r="A100" s="37"/>
      <c r="B100" s="16" t="s">
        <v>150</v>
      </c>
      <c r="C100" s="17">
        <v>2</v>
      </c>
      <c r="D100" s="17">
        <v>1</v>
      </c>
      <c r="E100" s="17"/>
      <c r="F100" s="17">
        <v>1</v>
      </c>
      <c r="G100" s="17"/>
      <c r="H100" s="17"/>
      <c r="I100" s="17"/>
      <c r="J100" s="17"/>
      <c r="K100" s="17"/>
      <c r="L100" s="17"/>
      <c r="M100" s="17"/>
      <c r="N100" s="17"/>
      <c r="O100" s="17">
        <v>1</v>
      </c>
      <c r="P100" s="17">
        <v>1</v>
      </c>
      <c r="Q100" s="17"/>
      <c r="R100" s="17"/>
      <c r="S100" s="17"/>
      <c r="T100" s="17"/>
      <c r="U100" s="17">
        <v>1</v>
      </c>
      <c r="V100" s="17">
        <v>1</v>
      </c>
      <c r="W100" s="17"/>
      <c r="X100" s="17">
        <v>1</v>
      </c>
      <c r="Y100" s="17">
        <v>1</v>
      </c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21">
        <v>6</v>
      </c>
    </row>
    <row r="101" s="57" customFormat="1" ht="15" customHeight="1" spans="1:48">
      <c r="A101" s="37"/>
      <c r="B101" s="16" t="s">
        <v>151</v>
      </c>
      <c r="C101" s="17">
        <v>4</v>
      </c>
      <c r="D101" s="17"/>
      <c r="E101" s="17"/>
      <c r="F101" s="17">
        <v>15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21">
        <v>19</v>
      </c>
    </row>
    <row r="102" s="57" customFormat="1" ht="19.25" spans="1:48">
      <c r="A102" s="27" t="s">
        <v>152</v>
      </c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79"/>
    </row>
    <row r="103" s="57" customFormat="1" ht="15" customHeight="1" spans="1:48">
      <c r="A103" s="18" t="s">
        <v>153</v>
      </c>
      <c r="B103" s="30" t="s">
        <v>153</v>
      </c>
      <c r="C103" s="69"/>
      <c r="D103" s="69">
        <v>1</v>
      </c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32">
        <v>1</v>
      </c>
      <c r="P103" s="69">
        <v>1</v>
      </c>
      <c r="Q103" s="69"/>
      <c r="R103" s="32">
        <v>1</v>
      </c>
      <c r="S103" s="69"/>
      <c r="T103" s="69"/>
      <c r="U103" s="69"/>
      <c r="V103" s="69"/>
      <c r="W103" s="69"/>
      <c r="X103" s="32">
        <v>3</v>
      </c>
      <c r="Y103" s="69">
        <v>2</v>
      </c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32">
        <v>1</v>
      </c>
      <c r="AT103" s="69">
        <v>2</v>
      </c>
      <c r="AU103" s="69"/>
      <c r="AV103" s="21">
        <v>6</v>
      </c>
    </row>
    <row r="104" s="57" customFormat="1" ht="15" customHeight="1" spans="1:48">
      <c r="A104" s="20"/>
      <c r="B104" s="16" t="s">
        <v>154</v>
      </c>
      <c r="C104" s="17">
        <v>6</v>
      </c>
      <c r="D104" s="17">
        <v>2</v>
      </c>
      <c r="E104" s="17"/>
      <c r="F104" s="17">
        <v>2</v>
      </c>
      <c r="G104" s="17"/>
      <c r="H104" s="17"/>
      <c r="I104" s="17">
        <v>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>
        <v>1</v>
      </c>
      <c r="AR104" s="17"/>
      <c r="AS104" s="17">
        <v>9</v>
      </c>
      <c r="AT104" s="17">
        <v>9</v>
      </c>
      <c r="AU104" s="17"/>
      <c r="AV104" s="21">
        <v>18</v>
      </c>
    </row>
    <row r="105" s="57" customFormat="1" ht="19.25" spans="1:48">
      <c r="A105" s="27" t="s">
        <v>155</v>
      </c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79"/>
    </row>
    <row r="106" s="57" customFormat="1" ht="15" customHeight="1" spans="1:48">
      <c r="A106" s="18" t="s">
        <v>156</v>
      </c>
      <c r="B106" s="19" t="s">
        <v>157</v>
      </c>
      <c r="C106" s="32">
        <v>7</v>
      </c>
      <c r="D106" s="32">
        <v>5</v>
      </c>
      <c r="E106" s="32"/>
      <c r="F106" s="32">
        <v>6</v>
      </c>
      <c r="G106" s="32">
        <v>3</v>
      </c>
      <c r="H106" s="32"/>
      <c r="I106" s="32">
        <v>2</v>
      </c>
      <c r="J106" s="32"/>
      <c r="K106" s="32"/>
      <c r="L106" s="32"/>
      <c r="M106" s="32"/>
      <c r="N106" s="32"/>
      <c r="O106" s="57">
        <v>3</v>
      </c>
      <c r="P106" s="32">
        <v>3</v>
      </c>
      <c r="Q106" s="32"/>
      <c r="R106" s="57">
        <v>1</v>
      </c>
      <c r="S106" s="32">
        <v>1</v>
      </c>
      <c r="T106" s="32"/>
      <c r="U106" s="32"/>
      <c r="V106" s="32"/>
      <c r="W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>
        <v>16</v>
      </c>
      <c r="AQ106" s="32">
        <v>11</v>
      </c>
      <c r="AR106" s="32"/>
      <c r="AT106" s="32"/>
      <c r="AU106" s="32"/>
      <c r="AV106" s="21">
        <v>35</v>
      </c>
    </row>
    <row r="107" s="57" customFormat="1" ht="15" customHeight="1" spans="1:48">
      <c r="A107" s="20"/>
      <c r="B107" s="16" t="s">
        <v>158</v>
      </c>
      <c r="C107" s="17">
        <v>3</v>
      </c>
      <c r="D107" s="17"/>
      <c r="E107" s="17"/>
      <c r="F107" s="17">
        <v>2</v>
      </c>
      <c r="G107" s="17"/>
      <c r="H107" s="17"/>
      <c r="I107" s="17"/>
      <c r="J107" s="17"/>
      <c r="K107" s="17"/>
      <c r="L107" s="17"/>
      <c r="M107" s="17"/>
      <c r="N107" s="17"/>
      <c r="O107" s="17">
        <v>1</v>
      </c>
      <c r="P107" s="17"/>
      <c r="Q107" s="17"/>
      <c r="R107" s="17"/>
      <c r="S107" s="17"/>
      <c r="T107" s="17"/>
      <c r="U107" s="17"/>
      <c r="V107" s="17"/>
      <c r="W107" s="17"/>
      <c r="X107" s="17">
        <v>1</v>
      </c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>
        <v>3</v>
      </c>
      <c r="AQ107" s="17"/>
      <c r="AR107" s="17"/>
      <c r="AS107" s="17"/>
      <c r="AT107" s="17"/>
      <c r="AU107" s="17"/>
      <c r="AV107" s="21">
        <v>10</v>
      </c>
    </row>
    <row r="108" s="57" customFormat="1" ht="19.25" spans="1:48">
      <c r="A108" s="27" t="s">
        <v>159</v>
      </c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79"/>
    </row>
    <row r="109" s="57" customFormat="1" ht="15" customHeight="1" spans="1:48">
      <c r="A109" s="18" t="s">
        <v>160</v>
      </c>
      <c r="B109" s="30" t="s">
        <v>161</v>
      </c>
      <c r="C109" s="69">
        <v>5</v>
      </c>
      <c r="D109" s="69">
        <v>1</v>
      </c>
      <c r="E109" s="69"/>
      <c r="F109" s="69">
        <v>2</v>
      </c>
      <c r="G109" s="69"/>
      <c r="H109" s="69"/>
      <c r="I109" s="69">
        <v>1</v>
      </c>
      <c r="J109" s="69"/>
      <c r="K109" s="69"/>
      <c r="L109" s="69"/>
      <c r="M109" s="69">
        <v>1</v>
      </c>
      <c r="N109" s="69"/>
      <c r="O109" s="69"/>
      <c r="P109" s="69"/>
      <c r="Q109" s="69"/>
      <c r="R109" s="69"/>
      <c r="S109" s="69">
        <v>1</v>
      </c>
      <c r="T109" s="69"/>
      <c r="U109" s="69"/>
      <c r="V109" s="69"/>
      <c r="W109" s="69"/>
      <c r="X109" s="69">
        <v>1</v>
      </c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>
        <v>9</v>
      </c>
      <c r="AQ109" s="69">
        <v>4</v>
      </c>
      <c r="AR109" s="69"/>
      <c r="AS109" s="69">
        <v>1</v>
      </c>
      <c r="AT109" s="69">
        <v>1</v>
      </c>
      <c r="AU109" s="69"/>
      <c r="AV109" s="21">
        <v>19</v>
      </c>
    </row>
    <row r="110" s="57" customFormat="1" ht="15" customHeight="1" spans="1:48">
      <c r="A110" s="20"/>
      <c r="B110" s="30" t="s">
        <v>162</v>
      </c>
      <c r="C110" s="69">
        <v>4</v>
      </c>
      <c r="D110" s="69">
        <v>5</v>
      </c>
      <c r="E110" s="69"/>
      <c r="F110" s="69">
        <v>1</v>
      </c>
      <c r="G110" s="69">
        <v>1</v>
      </c>
      <c r="H110" s="69"/>
      <c r="I110" s="69"/>
      <c r="J110" s="69"/>
      <c r="K110" s="69"/>
      <c r="L110" s="69"/>
      <c r="M110" s="69"/>
      <c r="N110" s="69"/>
      <c r="O110" s="69">
        <v>4</v>
      </c>
      <c r="P110" s="69">
        <v>1</v>
      </c>
      <c r="Q110" s="69"/>
      <c r="R110" s="69">
        <v>1</v>
      </c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>
        <v>4</v>
      </c>
      <c r="AQ110" s="69">
        <v>3</v>
      </c>
      <c r="AR110" s="69"/>
      <c r="AS110" s="69"/>
      <c r="AT110" s="69"/>
      <c r="AU110" s="69"/>
      <c r="AV110" s="21">
        <v>14</v>
      </c>
    </row>
    <row r="111" s="57" customFormat="1" ht="15" customHeight="1" spans="1:48">
      <c r="A111" s="20"/>
      <c r="B111" s="16" t="s">
        <v>163</v>
      </c>
      <c r="C111" s="17">
        <v>10</v>
      </c>
      <c r="D111" s="17">
        <v>8</v>
      </c>
      <c r="E111" s="17"/>
      <c r="F111" s="17"/>
      <c r="G111" s="17">
        <v>2</v>
      </c>
      <c r="H111" s="17"/>
      <c r="I111" s="17">
        <v>1</v>
      </c>
      <c r="J111" s="17"/>
      <c r="K111" s="17"/>
      <c r="L111" s="17"/>
      <c r="M111" s="17"/>
      <c r="N111" s="17"/>
      <c r="O111" s="17"/>
      <c r="P111" s="17">
        <v>1</v>
      </c>
      <c r="Q111" s="17"/>
      <c r="R111" s="17"/>
      <c r="S111" s="17"/>
      <c r="T111" s="17"/>
      <c r="U111" s="17"/>
      <c r="V111" s="17"/>
      <c r="W111" s="17"/>
      <c r="X111" s="17">
        <v>1</v>
      </c>
      <c r="Y111" s="17">
        <v>1</v>
      </c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>
        <v>7</v>
      </c>
      <c r="AQ111" s="17">
        <v>2</v>
      </c>
      <c r="AR111" s="17"/>
      <c r="AS111" s="17"/>
      <c r="AT111" s="17">
        <v>1</v>
      </c>
      <c r="AU111" s="17"/>
      <c r="AV111" s="21">
        <v>19</v>
      </c>
    </row>
    <row r="112" s="57" customFormat="1" ht="19.25" spans="1:48">
      <c r="A112" s="27" t="s">
        <v>164</v>
      </c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79"/>
    </row>
    <row r="113" s="57" customFormat="1" ht="15" customHeight="1" spans="1:48">
      <c r="A113" s="20"/>
      <c r="B113" s="38" t="s">
        <v>165</v>
      </c>
      <c r="C113" s="69"/>
      <c r="D113" s="69"/>
      <c r="E113" s="69"/>
      <c r="F113" s="69">
        <v>1</v>
      </c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>
        <v>1</v>
      </c>
      <c r="AT113" s="69"/>
      <c r="AU113" s="69"/>
      <c r="AV113" s="21">
        <v>2</v>
      </c>
    </row>
    <row r="114" s="57" customFormat="1" spans="1:48">
      <c r="A114" s="15"/>
      <c r="B114" s="16" t="s">
        <v>166</v>
      </c>
      <c r="C114" s="17">
        <v>7</v>
      </c>
      <c r="D114" s="17"/>
      <c r="E114" s="17"/>
      <c r="F114" s="17">
        <v>2</v>
      </c>
      <c r="G114" s="17"/>
      <c r="H114" s="17"/>
      <c r="I114" s="17"/>
      <c r="J114" s="17"/>
      <c r="K114" s="17"/>
      <c r="L114" s="17">
        <v>1</v>
      </c>
      <c r="M114" s="17"/>
      <c r="N114" s="17"/>
      <c r="O114" s="17">
        <v>2</v>
      </c>
      <c r="P114" s="17"/>
      <c r="Q114" s="17"/>
      <c r="R114" s="17">
        <v>1</v>
      </c>
      <c r="S114" s="17"/>
      <c r="T114" s="17"/>
      <c r="U114" s="17">
        <v>1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>
        <v>1</v>
      </c>
      <c r="AH114" s="17"/>
      <c r="AI114" s="17"/>
      <c r="AJ114" s="17"/>
      <c r="AK114" s="17"/>
      <c r="AL114" s="17"/>
      <c r="AM114" s="17"/>
      <c r="AN114" s="17"/>
      <c r="AO114" s="17"/>
      <c r="AP114" s="17">
        <v>9</v>
      </c>
      <c r="AQ114" s="17"/>
      <c r="AR114" s="17"/>
      <c r="AS114" s="17"/>
      <c r="AT114" s="17"/>
      <c r="AU114" s="17"/>
      <c r="AV114" s="21">
        <v>24</v>
      </c>
    </row>
    <row r="115" s="57" customFormat="1" ht="15.25" spans="1:48">
      <c r="A115" s="15"/>
      <c r="B115" s="41" t="s">
        <v>167</v>
      </c>
      <c r="C115" s="47">
        <v>12</v>
      </c>
      <c r="D115" s="47"/>
      <c r="E115" s="47"/>
      <c r="F115" s="47">
        <v>3</v>
      </c>
      <c r="G115" s="47"/>
      <c r="H115" s="47"/>
      <c r="I115" s="47"/>
      <c r="J115" s="47"/>
      <c r="K115" s="47"/>
      <c r="L115" s="47">
        <v>3</v>
      </c>
      <c r="M115" s="47"/>
      <c r="N115" s="47"/>
      <c r="O115" s="47">
        <v>4</v>
      </c>
      <c r="P115" s="47"/>
      <c r="Q115" s="47"/>
      <c r="R115" s="47">
        <v>2</v>
      </c>
      <c r="S115" s="47"/>
      <c r="T115" s="47"/>
      <c r="U115" s="47">
        <v>1</v>
      </c>
      <c r="V115" s="47"/>
      <c r="W115" s="47"/>
      <c r="X115" s="47">
        <v>2</v>
      </c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>
        <v>16</v>
      </c>
      <c r="AQ115" s="47"/>
      <c r="AR115" s="47"/>
      <c r="AS115" s="47">
        <v>1</v>
      </c>
      <c r="AT115" s="47"/>
      <c r="AU115" s="47"/>
      <c r="AV115" s="48">
        <v>44</v>
      </c>
    </row>
    <row r="116" s="57" customFormat="1" ht="19.5" customHeight="1" spans="1:48">
      <c r="A116" s="42" t="s">
        <v>168</v>
      </c>
      <c r="B116" s="43" t="s">
        <v>169</v>
      </c>
      <c r="C116" s="32">
        <v>2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>
        <v>2</v>
      </c>
      <c r="S116" s="32"/>
      <c r="T116" s="32"/>
      <c r="U116" s="32">
        <v>4</v>
      </c>
      <c r="V116" s="32"/>
      <c r="W116" s="32"/>
      <c r="X116" s="32">
        <v>5</v>
      </c>
      <c r="Y116" s="32"/>
      <c r="Z116" s="32"/>
      <c r="AA116" s="32"/>
      <c r="AB116" s="32"/>
      <c r="AC116" s="32"/>
      <c r="AD116" s="32">
        <v>1</v>
      </c>
      <c r="AE116" s="32"/>
      <c r="AF116" s="32"/>
      <c r="AG116" s="32">
        <v>1</v>
      </c>
      <c r="AH116" s="32"/>
      <c r="AI116" s="32"/>
      <c r="AJ116" s="32"/>
      <c r="AK116" s="32"/>
      <c r="AL116" s="32"/>
      <c r="AM116" s="32"/>
      <c r="AN116" s="32"/>
      <c r="AO116" s="32"/>
      <c r="AP116" s="32">
        <v>8</v>
      </c>
      <c r="AQ116" s="32"/>
      <c r="AR116" s="32"/>
      <c r="AS116" s="32"/>
      <c r="AT116" s="32"/>
      <c r="AU116" s="32"/>
      <c r="AV116" s="80">
        <v>23</v>
      </c>
    </row>
    <row r="117" s="57" customFormat="1" ht="19.5" customHeight="1" spans="1:48">
      <c r="A117" s="44"/>
      <c r="B117" s="45" t="s">
        <v>170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>
        <v>94</v>
      </c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>
        <v>20</v>
      </c>
      <c r="AQ117" s="17"/>
      <c r="AR117" s="17"/>
      <c r="AS117" s="17">
        <v>1</v>
      </c>
      <c r="AT117" s="17"/>
      <c r="AU117" s="17"/>
      <c r="AV117" s="21">
        <v>115</v>
      </c>
    </row>
    <row r="118" s="57" customFormat="1" ht="19.5" customHeight="1" spans="1:48">
      <c r="A118" s="44"/>
      <c r="B118" s="45" t="s">
        <v>171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>
        <v>17</v>
      </c>
      <c r="AQ118" s="17"/>
      <c r="AR118" s="17"/>
      <c r="AS118" s="17"/>
      <c r="AT118" s="17"/>
      <c r="AU118" s="17"/>
      <c r="AV118" s="21">
        <v>17</v>
      </c>
    </row>
    <row r="119" s="57" customFormat="1" ht="19.5" customHeight="1" spans="1:48">
      <c r="A119" s="44"/>
      <c r="B119" s="45" t="s">
        <v>172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>
        <v>3</v>
      </c>
      <c r="AQ119" s="17"/>
      <c r="AR119" s="17"/>
      <c r="AS119" s="17"/>
      <c r="AT119" s="17"/>
      <c r="AU119" s="17"/>
      <c r="AV119" s="21">
        <v>3</v>
      </c>
    </row>
    <row r="120" s="57" customFormat="1" ht="18.75" customHeight="1" spans="1:48">
      <c r="A120" s="46"/>
      <c r="B120" s="45" t="s">
        <v>173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>
        <v>20</v>
      </c>
      <c r="AQ120" s="17"/>
      <c r="AR120" s="17"/>
      <c r="AS120" s="17"/>
      <c r="AT120" s="17"/>
      <c r="AU120" s="17"/>
      <c r="AV120" s="21">
        <v>20</v>
      </c>
    </row>
    <row r="121" s="57" customFormat="1" ht="19.25" spans="1:48">
      <c r="A121" s="27" t="s">
        <v>174</v>
      </c>
      <c r="B121" s="23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79">
        <v>0</v>
      </c>
    </row>
    <row r="122" spans="1:48">
      <c r="A122" s="16" t="s">
        <v>175</v>
      </c>
      <c r="B122" s="16" t="s">
        <v>176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>
        <v>30</v>
      </c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>
        <v>75</v>
      </c>
      <c r="AQ122" s="17"/>
      <c r="AR122" s="17"/>
      <c r="AS122" s="17"/>
      <c r="AT122" s="17"/>
      <c r="AU122" s="17"/>
      <c r="AV122" s="21">
        <v>105</v>
      </c>
    </row>
    <row r="123" spans="1:48">
      <c r="A123" s="15"/>
      <c r="B123" s="41" t="s">
        <v>177</v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>
        <v>7</v>
      </c>
      <c r="AQ123" s="47"/>
      <c r="AR123" s="47"/>
      <c r="AS123" s="47"/>
      <c r="AT123" s="47"/>
      <c r="AU123" s="47"/>
      <c r="AV123" s="48">
        <v>7</v>
      </c>
    </row>
    <row r="124" s="71" customFormat="1" ht="18.5" spans="1:48">
      <c r="A124" s="49"/>
      <c r="B124" s="50" t="s">
        <v>178</v>
      </c>
      <c r="C124" s="51"/>
      <c r="D124" s="51"/>
      <c r="E124" s="51"/>
      <c r="F124" s="51">
        <v>1</v>
      </c>
      <c r="G124" s="51"/>
      <c r="H124" s="51"/>
      <c r="I124" s="51"/>
      <c r="J124" s="51"/>
      <c r="K124" s="51"/>
      <c r="L124" s="51"/>
      <c r="M124" s="51"/>
      <c r="N124" s="51"/>
      <c r="O124" s="51">
        <v>1</v>
      </c>
      <c r="P124" s="51"/>
      <c r="Q124" s="51"/>
      <c r="R124" s="51">
        <v>2</v>
      </c>
      <c r="S124" s="51"/>
      <c r="T124" s="51"/>
      <c r="U124" s="51">
        <v>1</v>
      </c>
      <c r="V124" s="51"/>
      <c r="W124" s="51"/>
      <c r="X124" s="51">
        <v>1</v>
      </c>
      <c r="Y124" s="51"/>
      <c r="Z124" s="51"/>
      <c r="AA124" s="51"/>
      <c r="AB124" s="51"/>
      <c r="AC124" s="51"/>
      <c r="AD124" s="51"/>
      <c r="AE124" s="51"/>
      <c r="AF124" s="51"/>
      <c r="AG124" s="51">
        <v>3</v>
      </c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>
        <v>21</v>
      </c>
      <c r="AT124" s="51"/>
      <c r="AU124" s="51"/>
      <c r="AV124" s="81">
        <v>30</v>
      </c>
    </row>
    <row r="125" s="71" customFormat="1" ht="19.25" spans="1:48">
      <c r="A125" s="52"/>
      <c r="B125" s="53" t="s">
        <v>11</v>
      </c>
      <c r="C125" s="54">
        <f t="shared" ref="C125:AS125" si="0">SUM(C5:C124)</f>
        <v>1021</v>
      </c>
      <c r="D125" s="54"/>
      <c r="E125" s="54"/>
      <c r="F125" s="54">
        <f t="shared" si="0"/>
        <v>418</v>
      </c>
      <c r="G125" s="54"/>
      <c r="H125" s="54"/>
      <c r="I125" s="54">
        <f t="shared" si="0"/>
        <v>113</v>
      </c>
      <c r="J125" s="54"/>
      <c r="K125" s="54"/>
      <c r="L125" s="54">
        <f t="shared" si="0"/>
        <v>89</v>
      </c>
      <c r="M125" s="54"/>
      <c r="N125" s="54"/>
      <c r="O125" s="54">
        <f t="shared" si="0"/>
        <v>160</v>
      </c>
      <c r="P125" s="54"/>
      <c r="Q125" s="54"/>
      <c r="R125" s="54">
        <f t="shared" si="0"/>
        <v>53</v>
      </c>
      <c r="S125" s="54"/>
      <c r="T125" s="54"/>
      <c r="U125" s="54">
        <f t="shared" si="0"/>
        <v>55</v>
      </c>
      <c r="V125" s="54"/>
      <c r="W125" s="54"/>
      <c r="X125" s="54">
        <f t="shared" si="0"/>
        <v>250</v>
      </c>
      <c r="Y125" s="54"/>
      <c r="Z125" s="54"/>
      <c r="AA125" s="54">
        <f t="shared" si="0"/>
        <v>124</v>
      </c>
      <c r="AB125" s="54"/>
      <c r="AC125" s="54"/>
      <c r="AD125" s="54">
        <f t="shared" si="0"/>
        <v>11</v>
      </c>
      <c r="AE125" s="54"/>
      <c r="AF125" s="54"/>
      <c r="AG125" s="54">
        <f t="shared" si="0"/>
        <v>47</v>
      </c>
      <c r="AH125" s="54"/>
      <c r="AI125" s="54"/>
      <c r="AJ125" s="54">
        <f t="shared" si="0"/>
        <v>10</v>
      </c>
      <c r="AK125" s="54"/>
      <c r="AL125" s="54"/>
      <c r="AM125" s="54">
        <f t="shared" si="0"/>
        <v>10</v>
      </c>
      <c r="AN125" s="54"/>
      <c r="AO125" s="54"/>
      <c r="AP125" s="54">
        <f t="shared" si="0"/>
        <v>901</v>
      </c>
      <c r="AQ125" s="54"/>
      <c r="AR125" s="54"/>
      <c r="AS125" s="54">
        <f t="shared" si="0"/>
        <v>100</v>
      </c>
      <c r="AT125" s="54"/>
      <c r="AU125" s="54"/>
      <c r="AV125" s="56">
        <v>3357</v>
      </c>
    </row>
    <row r="126" spans="1:48">
      <c r="C126" s="57">
        <v>1000</v>
      </c>
      <c r="F126" s="57">
        <v>406</v>
      </c>
      <c r="I126" s="57">
        <v>125</v>
      </c>
      <c r="L126" s="57">
        <v>100</v>
      </c>
      <c r="O126" s="57">
        <v>160</v>
      </c>
      <c r="R126" s="57">
        <v>52</v>
      </c>
      <c r="U126" s="57">
        <v>55</v>
      </c>
      <c r="X126" s="57">
        <v>250</v>
      </c>
      <c r="AA126" s="57">
        <v>124</v>
      </c>
      <c r="AD126" s="57">
        <v>20</v>
      </c>
      <c r="AG126" s="57">
        <v>50</v>
      </c>
      <c r="AJ126" s="57">
        <v>10</v>
      </c>
      <c r="AM126" s="57">
        <v>10</v>
      </c>
      <c r="AP126" s="57">
        <v>900</v>
      </c>
      <c r="AS126" s="57">
        <v>100</v>
      </c>
    </row>
  </sheetData>
  <autoFilter xmlns:etc="http://www.wps.cn/officeDocument/2017/etCustomData" ref="B3:AV126" etc:filterBottomFollowUsedRange="0">
    <extLst/>
  </autoFilter>
  <mergeCells count="4">
    <mergeCell ref="A1:AV1"/>
    <mergeCell ref="A30:A32"/>
    <mergeCell ref="A46:A49"/>
    <mergeCell ref="A116:A1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"/>
  <sheetViews>
    <sheetView zoomScale="70" zoomScaleNormal="70" workbookViewId="0">
      <selection activeCell="A1" sqref="$A1:$XFD1048576"/>
    </sheetView>
  </sheetViews>
  <sheetFormatPr defaultColWidth="9" defaultRowHeight="14.5"/>
  <cols>
    <col min="1" max="1" width="29.2818181818182" customWidth="1"/>
    <col min="2" max="2" width="31" customWidth="1"/>
    <col min="3" max="4" width="15.2818181818182" style="57" customWidth="1"/>
    <col min="5" max="5" width="16.4272727272727" style="57" customWidth="1"/>
    <col min="6" max="9" width="15.2818181818182" style="57" customWidth="1"/>
    <col min="10" max="10" width="11.8545454545455" style="57" customWidth="1"/>
  </cols>
  <sheetData>
    <row r="1" ht="36.75" spans="1:10">
      <c r="A1" s="1" t="s">
        <v>179</v>
      </c>
      <c r="B1" s="1"/>
      <c r="C1" s="1"/>
      <c r="D1" s="1"/>
      <c r="E1" s="1"/>
      <c r="F1" s="1"/>
      <c r="G1" s="1"/>
      <c r="H1" s="1"/>
      <c r="I1" s="1"/>
      <c r="J1" s="2"/>
    </row>
    <row r="2" ht="15.75" hidden="1" customHeight="1" spans="1:10">
      <c r="A2" s="58"/>
      <c r="B2" s="59" t="s">
        <v>1</v>
      </c>
      <c r="C2" s="60" t="s">
        <v>2</v>
      </c>
      <c r="D2" s="60" t="s">
        <v>3</v>
      </c>
      <c r="E2" s="60" t="s">
        <v>4</v>
      </c>
      <c r="F2" s="60" t="s">
        <v>5</v>
      </c>
      <c r="G2" s="60" t="s">
        <v>6</v>
      </c>
      <c r="H2" s="60" t="s">
        <v>6</v>
      </c>
      <c r="I2" s="60" t="s">
        <v>7</v>
      </c>
      <c r="J2" s="61" t="s">
        <v>11</v>
      </c>
    </row>
    <row r="3" ht="15.5" spans="1:10">
      <c r="A3" s="7"/>
      <c r="B3" s="8" t="s">
        <v>1</v>
      </c>
      <c r="C3" s="9" t="s">
        <v>180</v>
      </c>
      <c r="D3" s="9" t="s">
        <v>181</v>
      </c>
      <c r="E3" s="9" t="s">
        <v>182</v>
      </c>
      <c r="F3" s="9" t="s">
        <v>183</v>
      </c>
      <c r="G3" s="9" t="s">
        <v>184</v>
      </c>
      <c r="H3" s="9" t="s">
        <v>185</v>
      </c>
      <c r="I3" s="9" t="s">
        <v>186</v>
      </c>
      <c r="J3" s="10" t="s">
        <v>27</v>
      </c>
    </row>
    <row r="4" ht="15.5" spans="1:10">
      <c r="A4" s="7"/>
      <c r="B4" s="65"/>
      <c r="C4" s="66" t="s">
        <v>187</v>
      </c>
      <c r="D4" s="66" t="s">
        <v>188</v>
      </c>
      <c r="E4" s="66" t="s">
        <v>189</v>
      </c>
      <c r="F4" s="66" t="s">
        <v>190</v>
      </c>
      <c r="G4" s="66" t="s">
        <v>40</v>
      </c>
      <c r="H4" s="66" t="s">
        <v>191</v>
      </c>
      <c r="I4" s="66" t="s">
        <v>192</v>
      </c>
      <c r="J4" s="67"/>
    </row>
    <row r="5" spans="1:10">
      <c r="A5" s="15"/>
      <c r="B5" s="16" t="s">
        <v>43</v>
      </c>
      <c r="C5" s="17"/>
      <c r="D5" s="17"/>
      <c r="E5" s="17"/>
      <c r="F5" s="17"/>
      <c r="G5" s="17"/>
      <c r="H5" s="17">
        <v>16</v>
      </c>
      <c r="I5" s="17"/>
      <c r="J5" s="17">
        <v>16</v>
      </c>
    </row>
    <row r="6" spans="1:10">
      <c r="A6" s="15"/>
      <c r="B6" s="16" t="s">
        <v>44</v>
      </c>
      <c r="C6" s="17"/>
      <c r="D6" s="17">
        <v>4</v>
      </c>
      <c r="E6" s="17"/>
      <c r="F6" s="17"/>
      <c r="G6" s="17"/>
      <c r="H6" s="17"/>
      <c r="I6" s="17"/>
      <c r="J6" s="17">
        <v>4</v>
      </c>
    </row>
    <row r="7" spans="1:10">
      <c r="A7" s="15"/>
      <c r="B7" s="16" t="s">
        <v>45</v>
      </c>
      <c r="C7" s="17"/>
      <c r="D7" s="17"/>
      <c r="E7" s="17"/>
      <c r="F7" s="17"/>
      <c r="G7" s="17"/>
      <c r="H7" s="17">
        <v>2</v>
      </c>
      <c r="I7" s="17"/>
      <c r="J7" s="17">
        <v>2</v>
      </c>
    </row>
    <row r="8" spans="1:10">
      <c r="A8" s="15"/>
      <c r="B8" s="16" t="s">
        <v>46</v>
      </c>
      <c r="C8" s="17"/>
      <c r="D8" s="17">
        <v>30</v>
      </c>
      <c r="E8" s="17"/>
      <c r="F8" s="17">
        <v>15</v>
      </c>
      <c r="G8" s="17"/>
      <c r="H8" s="17">
        <v>5</v>
      </c>
      <c r="I8" s="17"/>
      <c r="J8" s="17">
        <v>50</v>
      </c>
    </row>
    <row r="9" s="57" customFormat="1" ht="15.25" spans="1:10">
      <c r="A9" s="15"/>
      <c r="B9" s="16" t="s">
        <v>47</v>
      </c>
      <c r="C9" s="17">
        <v>1</v>
      </c>
      <c r="D9" s="17">
        <v>0</v>
      </c>
      <c r="E9" s="17"/>
      <c r="F9" s="17">
        <v>4</v>
      </c>
      <c r="G9" s="17"/>
      <c r="H9" s="17">
        <v>88</v>
      </c>
      <c r="I9" s="17"/>
      <c r="J9" s="17">
        <f>SUM(C9:I9)</f>
        <v>93</v>
      </c>
    </row>
    <row r="10" s="57" customFormat="1" ht="15" customHeight="1" spans="1:10">
      <c r="A10" s="18" t="s">
        <v>48</v>
      </c>
      <c r="B10" s="19" t="s">
        <v>49</v>
      </c>
      <c r="C10" s="17"/>
      <c r="D10" s="17">
        <v>2</v>
      </c>
      <c r="E10" s="17"/>
      <c r="F10" s="17"/>
      <c r="G10" s="17"/>
      <c r="H10" s="17">
        <v>1</v>
      </c>
      <c r="I10" s="17"/>
      <c r="J10" s="17">
        <v>3</v>
      </c>
    </row>
    <row r="11" s="57" customFormat="1" ht="15" customHeight="1" spans="1:10">
      <c r="A11" s="20"/>
      <c r="B11" s="16" t="s">
        <v>51</v>
      </c>
      <c r="C11" s="17"/>
      <c r="D11" s="17">
        <v>2</v>
      </c>
      <c r="E11" s="17"/>
      <c r="F11" s="17"/>
      <c r="G11" s="17"/>
      <c r="H11" s="17">
        <v>1</v>
      </c>
      <c r="I11" s="17"/>
      <c r="J11" s="17">
        <v>3</v>
      </c>
    </row>
    <row r="12" s="57" customFormat="1" ht="15" customHeight="1" spans="1:10">
      <c r="A12" s="20"/>
      <c r="B12" s="16" t="s">
        <v>52</v>
      </c>
      <c r="C12" s="17"/>
      <c r="D12" s="17"/>
      <c r="E12" s="17"/>
      <c r="F12" s="17">
        <v>1</v>
      </c>
      <c r="G12" s="17"/>
      <c r="H12" s="17">
        <v>1</v>
      </c>
      <c r="I12" s="17"/>
      <c r="J12" s="17">
        <v>2</v>
      </c>
    </row>
    <row r="13" s="57" customFormat="1" ht="15" customHeight="1" spans="1:10">
      <c r="A13" s="20"/>
      <c r="B13" s="16" t="s">
        <v>53</v>
      </c>
      <c r="C13" s="17"/>
      <c r="D13" s="17">
        <v>2</v>
      </c>
      <c r="E13" s="17"/>
      <c r="F13" s="17">
        <v>1</v>
      </c>
      <c r="G13" s="17"/>
      <c r="H13" s="17">
        <v>3</v>
      </c>
      <c r="I13" s="17"/>
      <c r="J13" s="17">
        <v>6</v>
      </c>
    </row>
    <row r="14" s="57" customFormat="1" ht="15" customHeight="1" spans="1:10">
      <c r="A14" s="20"/>
      <c r="B14" s="16" t="s">
        <v>54</v>
      </c>
      <c r="C14" s="17"/>
      <c r="D14" s="17">
        <v>1</v>
      </c>
      <c r="E14" s="17"/>
      <c r="F14" s="17">
        <v>1</v>
      </c>
      <c r="G14" s="17"/>
      <c r="H14" s="17">
        <v>1</v>
      </c>
      <c r="I14" s="17"/>
      <c r="J14" s="17">
        <v>3</v>
      </c>
    </row>
    <row r="15" s="57" customFormat="1" ht="15" customHeight="1" spans="1:10">
      <c r="A15" s="20"/>
      <c r="B15" s="16" t="s">
        <v>55</v>
      </c>
      <c r="C15" s="17"/>
      <c r="D15" s="17"/>
      <c r="E15" s="17"/>
      <c r="F15" s="17"/>
      <c r="G15" s="17"/>
      <c r="H15" s="17"/>
      <c r="I15" s="17"/>
      <c r="J15" s="68"/>
    </row>
    <row r="16" s="57" customFormat="1" ht="15" customHeight="1" spans="1:10">
      <c r="A16" s="20"/>
      <c r="B16" s="16" t="s">
        <v>56</v>
      </c>
      <c r="C16" s="17"/>
      <c r="D16" s="17">
        <v>1</v>
      </c>
      <c r="E16" s="17"/>
      <c r="F16" s="17"/>
      <c r="G16" s="17"/>
      <c r="H16" s="17">
        <v>1</v>
      </c>
      <c r="I16" s="17"/>
      <c r="J16" s="17">
        <v>2</v>
      </c>
    </row>
    <row r="17" s="57" customFormat="1" ht="19.25" spans="1:10">
      <c r="A17" s="22" t="s">
        <v>57</v>
      </c>
      <c r="B17" s="23"/>
      <c r="C17" s="24"/>
      <c r="D17" s="24"/>
      <c r="E17" s="24"/>
      <c r="F17" s="24"/>
      <c r="G17" s="24"/>
      <c r="H17" s="24"/>
      <c r="I17" s="24"/>
      <c r="J17" s="26"/>
    </row>
    <row r="18" s="57" customFormat="1" ht="15" customHeight="1" spans="1:10">
      <c r="A18" s="18" t="s">
        <v>58</v>
      </c>
      <c r="B18" s="19" t="s">
        <v>59</v>
      </c>
      <c r="C18" s="17"/>
      <c r="D18" s="17">
        <v>3</v>
      </c>
      <c r="E18" s="17"/>
      <c r="F18" s="17">
        <v>1</v>
      </c>
      <c r="G18" s="17"/>
      <c r="H18" s="17">
        <v>3</v>
      </c>
      <c r="I18" s="17"/>
      <c r="J18" s="17">
        <v>7</v>
      </c>
    </row>
    <row r="19" s="57" customFormat="1" ht="15" customHeight="1" spans="1:10">
      <c r="A19" s="20"/>
      <c r="B19" s="16" t="s">
        <v>60</v>
      </c>
      <c r="C19" s="17"/>
      <c r="D19" s="17">
        <v>1</v>
      </c>
      <c r="E19" s="17"/>
      <c r="F19" s="17">
        <v>1</v>
      </c>
      <c r="G19" s="17"/>
      <c r="H19" s="17">
        <v>1</v>
      </c>
      <c r="I19" s="17"/>
      <c r="J19" s="17">
        <v>3</v>
      </c>
    </row>
    <row r="20" s="57" customFormat="1" ht="19.25" spans="1:10">
      <c r="A20" s="22" t="s">
        <v>61</v>
      </c>
      <c r="B20" s="23"/>
      <c r="C20" s="24"/>
      <c r="D20" s="24"/>
      <c r="E20" s="24"/>
      <c r="F20" s="24"/>
      <c r="G20" s="24"/>
      <c r="H20" s="24"/>
      <c r="I20" s="24"/>
      <c r="J20" s="26"/>
    </row>
    <row r="21" s="57" customFormat="1" ht="15" customHeight="1" spans="1:10">
      <c r="A21" s="18" t="s">
        <v>62</v>
      </c>
      <c r="B21" s="19" t="s">
        <v>63</v>
      </c>
      <c r="C21" s="32"/>
      <c r="D21" s="32"/>
      <c r="E21" s="32"/>
      <c r="F21" s="32"/>
      <c r="G21" s="32"/>
      <c r="H21" s="32"/>
      <c r="I21" s="32"/>
      <c r="J21" s="68"/>
    </row>
    <row r="22" s="57" customFormat="1" ht="15" customHeight="1" spans="1:10">
      <c r="A22" s="20"/>
      <c r="B22" s="16" t="s">
        <v>64</v>
      </c>
      <c r="C22" s="17"/>
      <c r="D22" s="17">
        <v>1</v>
      </c>
      <c r="E22" s="17"/>
      <c r="F22" s="17"/>
      <c r="G22" s="17"/>
      <c r="H22" s="17"/>
      <c r="I22" s="17"/>
      <c r="J22" s="17">
        <v>1</v>
      </c>
    </row>
    <row r="23" s="57" customFormat="1" ht="15" customHeight="1" spans="1:10">
      <c r="A23" s="20"/>
      <c r="B23" s="16" t="s">
        <v>65</v>
      </c>
      <c r="C23" s="17"/>
      <c r="D23" s="17">
        <v>1</v>
      </c>
      <c r="E23" s="17"/>
      <c r="F23" s="17"/>
      <c r="G23" s="17"/>
      <c r="H23" s="17">
        <v>3</v>
      </c>
      <c r="I23" s="17"/>
      <c r="J23" s="17">
        <v>4</v>
      </c>
    </row>
    <row r="24" s="57" customFormat="1" ht="15" customHeight="1" spans="1:10">
      <c r="A24" s="20"/>
      <c r="B24" s="16" t="s">
        <v>66</v>
      </c>
      <c r="C24" s="17"/>
      <c r="D24" s="17">
        <v>2</v>
      </c>
      <c r="E24" s="17"/>
      <c r="F24" s="17"/>
      <c r="G24" s="17"/>
      <c r="H24" s="17">
        <v>1</v>
      </c>
      <c r="I24" s="17"/>
      <c r="J24" s="17">
        <v>3</v>
      </c>
    </row>
    <row r="25" s="57" customFormat="1" ht="19.25" spans="1:10">
      <c r="A25" s="27" t="s">
        <v>67</v>
      </c>
      <c r="B25" s="23"/>
      <c r="C25" s="24"/>
      <c r="D25" s="24"/>
      <c r="E25" s="24"/>
      <c r="F25" s="24"/>
      <c r="G25" s="24"/>
      <c r="H25" s="24"/>
      <c r="I25" s="24"/>
      <c r="J25" s="26"/>
    </row>
    <row r="26" s="57" customFormat="1" ht="15" customHeight="1" spans="1:10">
      <c r="A26" s="20" t="s">
        <v>68</v>
      </c>
      <c r="B26" s="16" t="s">
        <v>68</v>
      </c>
      <c r="C26" s="17"/>
      <c r="D26" s="17"/>
      <c r="E26" s="17"/>
      <c r="F26" s="17"/>
      <c r="G26" s="17"/>
      <c r="H26" s="17"/>
      <c r="I26" s="17"/>
      <c r="J26" s="68"/>
    </row>
    <row r="27" ht="15" customHeight="1" spans="1:10">
      <c r="A27" s="20"/>
      <c r="B27" s="16" t="s">
        <v>69</v>
      </c>
      <c r="C27" s="17"/>
      <c r="D27" s="17"/>
      <c r="E27" s="17"/>
      <c r="F27" s="17">
        <v>1</v>
      </c>
      <c r="G27" s="17"/>
      <c r="H27" s="17">
        <v>2</v>
      </c>
      <c r="I27" s="17"/>
      <c r="J27" s="17">
        <v>3</v>
      </c>
    </row>
    <row r="28" s="57" customFormat="1" ht="19.25" spans="1:10">
      <c r="A28" s="27" t="s">
        <v>70</v>
      </c>
      <c r="B28" s="23"/>
      <c r="C28" s="24"/>
      <c r="D28" s="24"/>
      <c r="E28" s="24"/>
      <c r="F28" s="24"/>
      <c r="G28" s="24"/>
      <c r="H28" s="24"/>
      <c r="I28" s="24"/>
      <c r="J28" s="26"/>
    </row>
    <row r="29" s="57" customFormat="1" ht="15" customHeight="1" spans="1:10">
      <c r="A29" s="28" t="s">
        <v>71</v>
      </c>
      <c r="B29" s="19" t="s">
        <v>72</v>
      </c>
      <c r="C29" s="17"/>
      <c r="D29" s="17"/>
      <c r="E29" s="17"/>
      <c r="F29" s="17"/>
      <c r="G29" s="17"/>
      <c r="H29" s="17">
        <v>2</v>
      </c>
      <c r="I29" s="17"/>
      <c r="J29" s="17">
        <v>2</v>
      </c>
    </row>
    <row r="30" s="57" customFormat="1" ht="15" customHeight="1" spans="1:10">
      <c r="A30" s="29"/>
      <c r="B30" s="16" t="s">
        <v>74</v>
      </c>
      <c r="C30" s="17"/>
      <c r="D30" s="17">
        <v>2</v>
      </c>
      <c r="E30" s="17"/>
      <c r="F30" s="17"/>
      <c r="G30" s="17"/>
      <c r="H30" s="17"/>
      <c r="I30" s="17"/>
      <c r="J30" s="17">
        <v>2</v>
      </c>
    </row>
    <row r="31" s="57" customFormat="1" ht="15" customHeight="1" spans="1:10">
      <c r="A31" s="29"/>
      <c r="B31" s="16" t="s">
        <v>75</v>
      </c>
      <c r="C31" s="17"/>
      <c r="D31" s="17"/>
      <c r="E31" s="17"/>
      <c r="F31" s="17"/>
      <c r="G31" s="17"/>
      <c r="H31" s="17">
        <v>2</v>
      </c>
      <c r="I31" s="17"/>
      <c r="J31" s="17">
        <v>2</v>
      </c>
    </row>
    <row r="32" s="57" customFormat="1" ht="15" customHeight="1" spans="1:10">
      <c r="A32" s="20"/>
      <c r="B32" s="16" t="s">
        <v>76</v>
      </c>
      <c r="C32" s="17"/>
      <c r="D32" s="17"/>
      <c r="E32" s="17"/>
      <c r="F32" s="17"/>
      <c r="G32" s="17"/>
      <c r="H32" s="17"/>
      <c r="I32" s="17"/>
      <c r="J32" s="68"/>
    </row>
    <row r="33" s="57" customFormat="1" ht="15" customHeight="1" spans="1:10">
      <c r="A33" s="20"/>
      <c r="B33" s="16" t="s">
        <v>77</v>
      </c>
      <c r="C33" s="17"/>
      <c r="D33" s="17">
        <v>1</v>
      </c>
      <c r="E33" s="17"/>
      <c r="F33" s="17">
        <v>1</v>
      </c>
      <c r="G33" s="17"/>
      <c r="H33" s="17">
        <v>1</v>
      </c>
      <c r="I33" s="17"/>
      <c r="J33" s="17">
        <v>3</v>
      </c>
    </row>
    <row r="34" ht="15" customHeight="1" spans="1:10">
      <c r="A34" s="20"/>
      <c r="B34" s="16" t="s">
        <v>78</v>
      </c>
      <c r="C34" s="17"/>
      <c r="D34" s="17"/>
      <c r="E34" s="17"/>
      <c r="F34" s="17"/>
      <c r="G34" s="17"/>
      <c r="H34" s="17"/>
      <c r="I34" s="17"/>
      <c r="J34" s="68"/>
    </row>
    <row r="35" ht="15" customHeight="1" spans="1:10">
      <c r="A35" s="20"/>
      <c r="B35" s="16" t="s">
        <v>79</v>
      </c>
      <c r="C35" s="17"/>
      <c r="D35" s="17"/>
      <c r="E35" s="17"/>
      <c r="F35" s="17"/>
      <c r="G35" s="17"/>
      <c r="H35" s="17"/>
      <c r="I35" s="17"/>
      <c r="J35" s="68"/>
    </row>
    <row r="36" ht="15" customHeight="1" spans="1:10">
      <c r="A36" s="20"/>
      <c r="B36" s="16" t="s">
        <v>80</v>
      </c>
      <c r="C36" s="17"/>
      <c r="D36" s="17"/>
      <c r="E36" s="17"/>
      <c r="F36" s="17"/>
      <c r="G36" s="17"/>
      <c r="H36" s="17"/>
      <c r="I36" s="17"/>
      <c r="J36" s="68"/>
    </row>
    <row r="37" ht="15" customHeight="1" spans="1:10">
      <c r="A37" s="20"/>
      <c r="B37" s="16" t="s">
        <v>81</v>
      </c>
      <c r="C37" s="17"/>
      <c r="D37" s="17"/>
      <c r="E37" s="17"/>
      <c r="F37" s="17">
        <v>1</v>
      </c>
      <c r="G37" s="17"/>
      <c r="H37" s="17">
        <v>1</v>
      </c>
      <c r="I37" s="17"/>
      <c r="J37" s="17">
        <v>2</v>
      </c>
    </row>
    <row r="38" ht="19.25" spans="1:10">
      <c r="A38" s="27"/>
      <c r="B38" s="23"/>
      <c r="C38" s="24"/>
      <c r="D38" s="24"/>
      <c r="E38" s="24"/>
      <c r="F38" s="24"/>
      <c r="G38" s="24"/>
      <c r="H38" s="24"/>
      <c r="I38" s="24"/>
      <c r="J38" s="26"/>
    </row>
    <row r="39" spans="1:10">
      <c r="A39" s="15"/>
      <c r="B39" s="30" t="s">
        <v>82</v>
      </c>
      <c r="C39" s="17"/>
      <c r="D39" s="17">
        <v>7</v>
      </c>
      <c r="E39" s="17"/>
      <c r="F39" s="17">
        <v>12</v>
      </c>
      <c r="G39" s="17"/>
      <c r="H39" s="17">
        <v>8</v>
      </c>
      <c r="I39" s="17"/>
      <c r="J39" s="17">
        <v>27</v>
      </c>
    </row>
    <row r="40" s="57" customFormat="1" spans="1:10">
      <c r="A40" s="15"/>
      <c r="B40" s="16" t="s">
        <v>83</v>
      </c>
      <c r="C40" s="17"/>
      <c r="D40" s="17">
        <v>4</v>
      </c>
      <c r="E40" s="17"/>
      <c r="F40" s="17">
        <v>5</v>
      </c>
      <c r="G40" s="17"/>
      <c r="H40" s="17">
        <v>15</v>
      </c>
      <c r="I40" s="17"/>
      <c r="J40" s="17">
        <v>24</v>
      </c>
    </row>
    <row r="41" s="57" customFormat="1" spans="1:10">
      <c r="A41" s="15"/>
      <c r="B41" s="16" t="s">
        <v>84</v>
      </c>
      <c r="C41" s="17"/>
      <c r="D41" s="17"/>
      <c r="E41" s="17"/>
      <c r="F41" s="17"/>
      <c r="G41" s="17"/>
      <c r="H41" s="17">
        <v>6</v>
      </c>
      <c r="I41" s="17"/>
      <c r="J41" s="17">
        <v>6</v>
      </c>
    </row>
    <row r="42" s="57" customFormat="1" spans="1:10">
      <c r="A42" s="15"/>
      <c r="B42" s="16" t="s">
        <v>85</v>
      </c>
      <c r="C42" s="17"/>
      <c r="D42" s="17">
        <v>2</v>
      </c>
      <c r="E42" s="17"/>
      <c r="F42" s="17">
        <v>3</v>
      </c>
      <c r="G42" s="17"/>
      <c r="H42" s="17"/>
      <c r="I42" s="17"/>
      <c r="J42" s="17">
        <v>5</v>
      </c>
    </row>
    <row r="43" s="57" customFormat="1" spans="1:10">
      <c r="A43" s="15"/>
      <c r="B43" s="16" t="s">
        <v>86</v>
      </c>
      <c r="C43" s="17"/>
      <c r="D43" s="17">
        <v>2</v>
      </c>
      <c r="E43" s="17"/>
      <c r="F43" s="17">
        <v>3</v>
      </c>
      <c r="G43" s="17"/>
      <c r="H43" s="17"/>
      <c r="I43" s="17"/>
      <c r="J43" s="17">
        <v>5</v>
      </c>
    </row>
    <row r="44" ht="15.25" spans="1:10">
      <c r="A44" s="15"/>
      <c r="B44" s="16" t="s">
        <v>87</v>
      </c>
      <c r="C44" s="17"/>
      <c r="D44" s="17">
        <v>6</v>
      </c>
      <c r="E44" s="17">
        <v>2</v>
      </c>
      <c r="F44" s="17">
        <v>3</v>
      </c>
      <c r="G44" s="17"/>
      <c r="H44" s="17">
        <v>16</v>
      </c>
      <c r="I44" s="17"/>
      <c r="J44" s="17">
        <v>27</v>
      </c>
    </row>
    <row r="45" ht="15" customHeight="1" spans="1:10">
      <c r="A45" s="31" t="s">
        <v>88</v>
      </c>
      <c r="B45" s="19" t="s">
        <v>89</v>
      </c>
      <c r="C45" s="32"/>
      <c r="D45" s="32"/>
      <c r="E45" s="32"/>
      <c r="F45" s="32"/>
      <c r="G45" s="32"/>
      <c r="H45" s="32"/>
      <c r="I45" s="32"/>
      <c r="J45" s="68"/>
    </row>
    <row r="46" s="57" customFormat="1" ht="15" customHeight="1" spans="1:10">
      <c r="A46" s="34"/>
      <c r="B46" s="16" t="s">
        <v>90</v>
      </c>
      <c r="C46" s="17"/>
      <c r="D46" s="17">
        <v>1</v>
      </c>
      <c r="E46" s="17"/>
      <c r="F46" s="17"/>
      <c r="G46" s="17"/>
      <c r="H46" s="17"/>
      <c r="I46" s="17"/>
      <c r="J46" s="17">
        <v>1</v>
      </c>
    </row>
    <row r="47" ht="15" customHeight="1" spans="1:10">
      <c r="A47" s="34"/>
      <c r="B47" s="16" t="s">
        <v>91</v>
      </c>
      <c r="C47" s="17"/>
      <c r="D47" s="17">
        <v>1</v>
      </c>
      <c r="E47" s="17"/>
      <c r="F47" s="17"/>
      <c r="G47" s="17"/>
      <c r="H47" s="17"/>
      <c r="I47" s="17"/>
      <c r="J47" s="17">
        <v>1</v>
      </c>
    </row>
    <row r="48" ht="15" customHeight="1" spans="1:10">
      <c r="A48" s="34"/>
      <c r="B48" s="16" t="s">
        <v>92</v>
      </c>
      <c r="C48" s="17"/>
      <c r="D48" s="17">
        <v>1</v>
      </c>
      <c r="E48" s="17"/>
      <c r="F48" s="17">
        <v>1</v>
      </c>
      <c r="G48" s="17"/>
      <c r="H48" s="17"/>
      <c r="I48" s="17"/>
      <c r="J48" s="17">
        <v>2</v>
      </c>
    </row>
    <row r="49" ht="15" customHeight="1" spans="1:10">
      <c r="A49" s="35"/>
      <c r="B49" s="16" t="s">
        <v>93</v>
      </c>
      <c r="C49" s="17"/>
      <c r="D49" s="17"/>
      <c r="E49" s="17"/>
      <c r="F49" s="17"/>
      <c r="G49" s="17"/>
      <c r="H49" s="17"/>
      <c r="I49" s="17"/>
      <c r="J49" s="68"/>
    </row>
    <row r="50" s="57" customFormat="1" ht="15" customHeight="1" spans="1:10">
      <c r="A50" s="35"/>
      <c r="B50" s="16" t="s">
        <v>94</v>
      </c>
      <c r="C50" s="17"/>
      <c r="D50" s="17"/>
      <c r="E50" s="17"/>
      <c r="F50" s="17"/>
      <c r="G50" s="17"/>
      <c r="H50" s="17"/>
      <c r="I50" s="17"/>
      <c r="J50" s="68"/>
    </row>
    <row r="51" s="57" customFormat="1" ht="15" customHeight="1" spans="1:10">
      <c r="A51" s="35"/>
      <c r="B51" s="16" t="s">
        <v>95</v>
      </c>
      <c r="C51" s="17"/>
      <c r="D51" s="17"/>
      <c r="E51" s="17"/>
      <c r="F51" s="17"/>
      <c r="G51" s="17"/>
      <c r="H51" s="17"/>
      <c r="I51" s="17"/>
      <c r="J51" s="68"/>
    </row>
    <row r="52" s="57" customFormat="1" ht="15" customHeight="1" spans="1:10">
      <c r="A52" s="35"/>
      <c r="B52" s="16" t="s">
        <v>96</v>
      </c>
      <c r="C52" s="17"/>
      <c r="D52" s="17">
        <v>1</v>
      </c>
      <c r="E52" s="17"/>
      <c r="F52" s="17">
        <v>1</v>
      </c>
      <c r="G52" s="17"/>
      <c r="H52" s="17">
        <v>1</v>
      </c>
      <c r="I52" s="17"/>
      <c r="J52" s="17">
        <v>3</v>
      </c>
    </row>
    <row r="53" s="57" customFormat="1" ht="15" customHeight="1" spans="1:10">
      <c r="A53" s="35"/>
      <c r="B53" s="16" t="s">
        <v>97</v>
      </c>
      <c r="C53" s="17"/>
      <c r="D53" s="17">
        <v>1</v>
      </c>
      <c r="E53" s="17"/>
      <c r="F53" s="17">
        <v>1</v>
      </c>
      <c r="G53" s="17"/>
      <c r="H53" s="17">
        <v>1</v>
      </c>
      <c r="I53" s="17"/>
      <c r="J53" s="17">
        <v>3</v>
      </c>
    </row>
    <row r="54" s="57" customFormat="1" ht="19.25" spans="1:10">
      <c r="A54" s="27" t="s">
        <v>98</v>
      </c>
      <c r="B54" s="23"/>
      <c r="C54" s="24"/>
      <c r="D54" s="24"/>
      <c r="E54" s="24"/>
      <c r="F54" s="24"/>
      <c r="G54" s="24"/>
      <c r="H54" s="24"/>
      <c r="I54" s="24"/>
      <c r="J54" s="26"/>
    </row>
    <row r="55" s="57" customFormat="1" ht="16.5" customHeight="1" spans="1:10">
      <c r="A55" s="36" t="s">
        <v>99</v>
      </c>
      <c r="B55" s="19" t="s">
        <v>100</v>
      </c>
      <c r="C55" s="17"/>
      <c r="D55" s="17">
        <v>1</v>
      </c>
      <c r="E55" s="17"/>
      <c r="F55" s="17">
        <v>1</v>
      </c>
      <c r="G55" s="17"/>
      <c r="H55" s="17">
        <v>12</v>
      </c>
      <c r="I55" s="17"/>
      <c r="J55" s="17">
        <v>14</v>
      </c>
    </row>
    <row r="56" s="57" customFormat="1" ht="15" customHeight="1" spans="1:10">
      <c r="A56" s="37"/>
      <c r="B56" s="16" t="s">
        <v>101</v>
      </c>
      <c r="C56" s="17"/>
      <c r="D56" s="17">
        <v>1</v>
      </c>
      <c r="E56" s="17"/>
      <c r="F56" s="17"/>
      <c r="G56" s="17"/>
      <c r="H56" s="17"/>
      <c r="I56" s="17"/>
      <c r="J56" s="17">
        <v>1</v>
      </c>
    </row>
    <row r="57" s="57" customFormat="1" ht="15" customHeight="1" spans="1:10">
      <c r="A57" s="37"/>
      <c r="B57" s="16" t="s">
        <v>102</v>
      </c>
      <c r="C57" s="17"/>
      <c r="D57" s="17">
        <v>1</v>
      </c>
      <c r="E57" s="17"/>
      <c r="F57" s="17"/>
      <c r="G57" s="17"/>
      <c r="H57" s="17"/>
      <c r="I57" s="17"/>
      <c r="J57" s="17">
        <v>1</v>
      </c>
    </row>
    <row r="58" s="57" customFormat="1" ht="19.25" spans="1:10">
      <c r="A58" s="22" t="s">
        <v>103</v>
      </c>
      <c r="B58" s="23"/>
      <c r="C58" s="24"/>
      <c r="D58" s="24"/>
      <c r="E58" s="24"/>
      <c r="F58" s="24"/>
      <c r="G58" s="24"/>
      <c r="H58" s="24"/>
      <c r="I58" s="24"/>
      <c r="J58" s="26"/>
    </row>
    <row r="59" s="57" customFormat="1" ht="15" customHeight="1" spans="1:10">
      <c r="A59" s="20" t="s">
        <v>104</v>
      </c>
      <c r="B59" s="38" t="s">
        <v>105</v>
      </c>
      <c r="C59" s="17"/>
      <c r="D59" s="17">
        <v>1</v>
      </c>
      <c r="E59" s="17"/>
      <c r="F59" s="17">
        <v>1</v>
      </c>
      <c r="G59" s="17"/>
      <c r="H59" s="17"/>
      <c r="I59" s="17"/>
      <c r="J59" s="17">
        <v>2</v>
      </c>
    </row>
    <row r="60" s="57" customFormat="1" ht="15" customHeight="1" spans="1:10">
      <c r="A60" s="39" t="s">
        <v>106</v>
      </c>
      <c r="B60" s="19" t="s">
        <v>107</v>
      </c>
      <c r="C60" s="17"/>
      <c r="D60" s="17">
        <v>2</v>
      </c>
      <c r="E60" s="17"/>
      <c r="F60" s="17">
        <v>1</v>
      </c>
      <c r="G60" s="17"/>
      <c r="H60" s="17">
        <v>3</v>
      </c>
      <c r="I60" s="17"/>
      <c r="J60" s="17">
        <v>6</v>
      </c>
    </row>
    <row r="61" s="57" customFormat="1" ht="15" customHeight="1" spans="1:10">
      <c r="A61" s="40"/>
      <c r="B61" s="16" t="s">
        <v>108</v>
      </c>
      <c r="C61" s="17"/>
      <c r="D61" s="17">
        <v>2</v>
      </c>
      <c r="E61" s="17"/>
      <c r="F61" s="17"/>
      <c r="G61" s="17"/>
      <c r="H61" s="17"/>
      <c r="I61" s="17"/>
      <c r="J61" s="17">
        <v>2</v>
      </c>
    </row>
    <row r="62" s="57" customFormat="1" ht="19.25" spans="1:10">
      <c r="A62" s="27" t="s">
        <v>109</v>
      </c>
      <c r="B62" s="23"/>
      <c r="C62" s="24"/>
      <c r="D62" s="24"/>
      <c r="E62" s="24"/>
      <c r="F62" s="24"/>
      <c r="G62" s="24"/>
      <c r="H62" s="24"/>
      <c r="I62" s="24"/>
      <c r="J62" s="26"/>
    </row>
    <row r="63" s="57" customFormat="1" ht="15.25" spans="1:10">
      <c r="A63" s="15"/>
      <c r="B63" s="30" t="s">
        <v>110</v>
      </c>
      <c r="C63" s="17"/>
      <c r="D63" s="17">
        <v>2</v>
      </c>
      <c r="E63" s="17"/>
      <c r="F63" s="17">
        <v>1</v>
      </c>
      <c r="G63" s="17"/>
      <c r="H63" s="17">
        <v>1</v>
      </c>
      <c r="I63" s="17"/>
      <c r="J63" s="17">
        <v>4</v>
      </c>
    </row>
    <row r="64" s="57" customFormat="1" ht="15" customHeight="1" spans="1:10">
      <c r="A64" s="18" t="s">
        <v>111</v>
      </c>
      <c r="B64" s="19" t="s">
        <v>111</v>
      </c>
      <c r="C64" s="17"/>
      <c r="D64" s="17">
        <v>3</v>
      </c>
      <c r="E64" s="17"/>
      <c r="F64" s="17">
        <v>18</v>
      </c>
      <c r="G64" s="17"/>
      <c r="H64" s="17">
        <v>52</v>
      </c>
      <c r="I64" s="17"/>
      <c r="J64" s="17">
        <v>73</v>
      </c>
    </row>
    <row r="65" s="57" customFormat="1" ht="15" customHeight="1" spans="1:10">
      <c r="A65" s="20"/>
      <c r="B65" s="16" t="s">
        <v>112</v>
      </c>
      <c r="C65" s="17"/>
      <c r="D65" s="17">
        <v>2</v>
      </c>
      <c r="E65" s="17"/>
      <c r="F65" s="17"/>
      <c r="G65" s="17"/>
      <c r="H65" s="17">
        <v>6</v>
      </c>
      <c r="I65" s="17"/>
      <c r="J65" s="17">
        <v>8</v>
      </c>
    </row>
    <row r="66" s="57" customFormat="1" ht="19.25" spans="1:10">
      <c r="A66" s="27" t="s">
        <v>113</v>
      </c>
      <c r="B66" s="23"/>
      <c r="C66" s="24"/>
      <c r="D66" s="24"/>
      <c r="E66" s="24"/>
      <c r="F66" s="24"/>
      <c r="G66" s="24"/>
      <c r="H66" s="24"/>
      <c r="I66" s="24"/>
      <c r="J66" s="26"/>
    </row>
    <row r="67" s="57" customFormat="1" ht="15.25" spans="1:10">
      <c r="A67" s="15"/>
      <c r="B67" s="30" t="s">
        <v>114</v>
      </c>
      <c r="C67" s="17">
        <v>3</v>
      </c>
      <c r="D67" s="17"/>
      <c r="E67" s="17"/>
      <c r="F67" s="17"/>
      <c r="G67" s="17"/>
      <c r="H67" s="17"/>
      <c r="I67" s="17"/>
      <c r="J67" s="17">
        <v>3</v>
      </c>
    </row>
    <row r="68" s="57" customFormat="1" ht="15" customHeight="1" spans="1:10">
      <c r="A68" s="18" t="s">
        <v>115</v>
      </c>
      <c r="B68" s="19" t="s">
        <v>116</v>
      </c>
      <c r="C68" s="17"/>
      <c r="D68" s="17">
        <v>11</v>
      </c>
      <c r="E68" s="17"/>
      <c r="F68" s="17">
        <v>1</v>
      </c>
      <c r="G68" s="17"/>
      <c r="H68" s="17">
        <v>21</v>
      </c>
      <c r="I68" s="17"/>
      <c r="J68" s="17">
        <v>33</v>
      </c>
    </row>
    <row r="69" s="57" customFormat="1" ht="15" customHeight="1" spans="1:10">
      <c r="A69" s="20"/>
      <c r="B69" s="16" t="s">
        <v>117</v>
      </c>
      <c r="C69" s="17"/>
      <c r="D69" s="17"/>
      <c r="E69" s="17"/>
      <c r="F69" s="17">
        <v>1</v>
      </c>
      <c r="G69" s="17"/>
      <c r="H69" s="17">
        <v>1</v>
      </c>
      <c r="I69" s="17"/>
      <c r="J69" s="17">
        <v>2</v>
      </c>
    </row>
    <row r="70" s="57" customFormat="1" ht="15" customHeight="1" spans="1:10">
      <c r="A70" s="20"/>
      <c r="B70" s="16" t="s">
        <v>118</v>
      </c>
      <c r="C70" s="17"/>
      <c r="D70" s="17">
        <v>2</v>
      </c>
      <c r="E70" s="17"/>
      <c r="F70" s="17">
        <v>1</v>
      </c>
      <c r="G70" s="17"/>
      <c r="H70" s="17"/>
      <c r="I70" s="17"/>
      <c r="J70" s="17">
        <v>3</v>
      </c>
    </row>
    <row r="71" s="57" customFormat="1" ht="15" customHeight="1" spans="1:10">
      <c r="A71" s="20"/>
      <c r="B71" s="16" t="s">
        <v>119</v>
      </c>
      <c r="C71" s="17"/>
      <c r="D71" s="17"/>
      <c r="E71" s="17"/>
      <c r="F71" s="17"/>
      <c r="G71" s="17"/>
      <c r="H71" s="17"/>
      <c r="I71" s="17"/>
      <c r="J71" s="68"/>
    </row>
    <row r="72" s="57" customFormat="1" ht="15" customHeight="1" spans="1:10">
      <c r="A72" s="20"/>
      <c r="B72" s="16" t="s">
        <v>120</v>
      </c>
      <c r="C72" s="17"/>
      <c r="D72" s="17"/>
      <c r="E72" s="17"/>
      <c r="F72" s="17"/>
      <c r="G72" s="17"/>
      <c r="H72" s="17"/>
      <c r="I72" s="17"/>
      <c r="J72" s="68"/>
    </row>
    <row r="73" s="57" customFormat="1" ht="15" customHeight="1" spans="1:10">
      <c r="A73" s="20"/>
      <c r="B73" s="16" t="s">
        <v>121</v>
      </c>
      <c r="C73" s="17"/>
      <c r="D73" s="17"/>
      <c r="E73" s="17"/>
      <c r="F73" s="17"/>
      <c r="G73" s="17"/>
      <c r="H73" s="17"/>
      <c r="I73" s="17"/>
      <c r="J73" s="68"/>
    </row>
    <row r="74" s="57" customFormat="1" ht="19.25" spans="1:10">
      <c r="A74" s="27" t="s">
        <v>122</v>
      </c>
      <c r="B74" s="23"/>
      <c r="C74" s="24"/>
      <c r="D74" s="24"/>
      <c r="E74" s="24"/>
      <c r="F74" s="24"/>
      <c r="G74" s="24"/>
      <c r="H74" s="24"/>
      <c r="I74" s="24"/>
      <c r="J74" s="26"/>
    </row>
    <row r="75" s="57" customFormat="1" spans="1:10">
      <c r="A75" s="15"/>
      <c r="B75" s="30" t="s">
        <v>123</v>
      </c>
      <c r="C75" s="17"/>
      <c r="D75" s="17">
        <v>1</v>
      </c>
      <c r="E75" s="17"/>
      <c r="F75" s="17">
        <v>2</v>
      </c>
      <c r="G75" s="17"/>
      <c r="H75" s="17">
        <v>5</v>
      </c>
      <c r="I75" s="17"/>
      <c r="J75" s="17">
        <v>8</v>
      </c>
    </row>
    <row r="76" s="57" customFormat="1" spans="1:10">
      <c r="A76" s="15"/>
      <c r="B76" s="16" t="s">
        <v>124</v>
      </c>
      <c r="C76" s="17"/>
      <c r="D76" s="17">
        <v>4</v>
      </c>
      <c r="E76" s="17"/>
      <c r="F76" s="17">
        <v>1</v>
      </c>
      <c r="G76" s="17"/>
      <c r="H76" s="17">
        <v>4</v>
      </c>
      <c r="I76" s="17"/>
      <c r="J76" s="17">
        <v>9</v>
      </c>
    </row>
    <row r="77" s="57" customFormat="1" spans="1:10">
      <c r="A77" s="15"/>
      <c r="B77" s="16" t="s">
        <v>125</v>
      </c>
      <c r="C77" s="17"/>
      <c r="D77" s="17">
        <v>2</v>
      </c>
      <c r="E77" s="17"/>
      <c r="F77" s="17">
        <v>3</v>
      </c>
      <c r="G77" s="17"/>
      <c r="H77" s="17">
        <v>11</v>
      </c>
      <c r="I77" s="17"/>
      <c r="J77" s="17">
        <v>16</v>
      </c>
    </row>
    <row r="78" s="57" customFormat="1" spans="1:10">
      <c r="A78" s="15"/>
      <c r="B78" s="16" t="s">
        <v>126</v>
      </c>
      <c r="C78" s="17"/>
      <c r="D78" s="17"/>
      <c r="E78" s="17"/>
      <c r="F78" s="17">
        <v>3</v>
      </c>
      <c r="G78" s="17"/>
      <c r="H78" s="17">
        <v>4</v>
      </c>
      <c r="I78" s="17"/>
      <c r="J78" s="17">
        <v>7</v>
      </c>
    </row>
    <row r="79" s="57" customFormat="1" spans="1:10">
      <c r="A79" s="15"/>
      <c r="B79" s="16" t="s">
        <v>127</v>
      </c>
      <c r="C79" s="17"/>
      <c r="D79" s="17"/>
      <c r="E79" s="17"/>
      <c r="F79" s="17">
        <v>2</v>
      </c>
      <c r="G79" s="17"/>
      <c r="H79" s="17">
        <v>3</v>
      </c>
      <c r="I79" s="17"/>
      <c r="J79" s="17">
        <v>5</v>
      </c>
    </row>
    <row r="80" s="57" customFormat="1" ht="15.25" spans="1:10">
      <c r="A80" s="15"/>
      <c r="B80" s="16" t="s">
        <v>128</v>
      </c>
      <c r="C80" s="17"/>
      <c r="D80" s="17">
        <v>28</v>
      </c>
      <c r="E80" s="17"/>
      <c r="F80" s="17">
        <v>6</v>
      </c>
      <c r="G80" s="17"/>
      <c r="H80" s="17">
        <v>71</v>
      </c>
      <c r="I80" s="17"/>
      <c r="J80" s="17">
        <v>105</v>
      </c>
    </row>
    <row r="81" s="57" customFormat="1" ht="15" customHeight="1" spans="1:10">
      <c r="A81" s="18" t="s">
        <v>129</v>
      </c>
      <c r="B81" s="19" t="s">
        <v>130</v>
      </c>
      <c r="C81" s="17"/>
      <c r="D81" s="17">
        <v>3</v>
      </c>
      <c r="E81" s="17"/>
      <c r="F81" s="17">
        <v>16</v>
      </c>
      <c r="G81" s="17"/>
      <c r="H81" s="17">
        <v>57</v>
      </c>
      <c r="I81" s="17"/>
      <c r="J81" s="17">
        <v>76</v>
      </c>
    </row>
    <row r="82" s="57" customFormat="1" ht="15" customHeight="1" spans="1:10">
      <c r="A82" s="20"/>
      <c r="B82" s="16" t="s">
        <v>131</v>
      </c>
      <c r="C82" s="17"/>
      <c r="D82" s="17">
        <v>2</v>
      </c>
      <c r="E82" s="17"/>
      <c r="F82" s="17"/>
      <c r="G82" s="17"/>
      <c r="H82" s="17">
        <v>4</v>
      </c>
      <c r="I82" s="17"/>
      <c r="J82" s="17">
        <v>6</v>
      </c>
    </row>
    <row r="83" s="57" customFormat="1" ht="19.25" spans="1:10">
      <c r="A83" s="27" t="s">
        <v>132</v>
      </c>
      <c r="B83" s="23"/>
      <c r="C83" s="24"/>
      <c r="D83" s="24"/>
      <c r="E83" s="24"/>
      <c r="F83" s="24"/>
      <c r="G83" s="24"/>
      <c r="H83" s="24"/>
      <c r="I83" s="24"/>
      <c r="J83" s="26"/>
    </row>
    <row r="84" s="57" customFormat="1" spans="1:10">
      <c r="A84" s="15"/>
      <c r="B84" s="16" t="s">
        <v>133</v>
      </c>
      <c r="C84" s="17"/>
      <c r="D84" s="17">
        <v>2</v>
      </c>
      <c r="E84" s="17"/>
      <c r="F84" s="17">
        <v>3</v>
      </c>
      <c r="G84" s="17"/>
      <c r="H84" s="17">
        <v>8</v>
      </c>
      <c r="I84" s="17"/>
      <c r="J84" s="17">
        <v>13</v>
      </c>
    </row>
    <row r="85" s="57" customFormat="1" spans="1:10">
      <c r="A85" s="15"/>
      <c r="B85" s="16" t="s">
        <v>134</v>
      </c>
      <c r="C85" s="17"/>
      <c r="D85" s="17">
        <v>3</v>
      </c>
      <c r="E85" s="17"/>
      <c r="F85" s="17">
        <v>10</v>
      </c>
      <c r="G85" s="17"/>
      <c r="H85" s="17">
        <v>34</v>
      </c>
      <c r="I85" s="17">
        <v>2</v>
      </c>
      <c r="J85" s="17">
        <v>49</v>
      </c>
    </row>
    <row r="86" s="57" customFormat="1" ht="15.25" spans="1:10">
      <c r="A86" s="15"/>
      <c r="B86" s="16" t="s">
        <v>135</v>
      </c>
      <c r="C86" s="17"/>
      <c r="D86" s="17">
        <v>1</v>
      </c>
      <c r="E86" s="17"/>
      <c r="F86" s="17"/>
      <c r="G86" s="17"/>
      <c r="H86" s="17">
        <v>3</v>
      </c>
      <c r="I86" s="17"/>
      <c r="J86" s="17">
        <v>4</v>
      </c>
    </row>
    <row r="87" s="57" customFormat="1" ht="15" customHeight="1" spans="1:10">
      <c r="A87" s="18" t="s">
        <v>136</v>
      </c>
      <c r="B87" s="19" t="s">
        <v>137</v>
      </c>
      <c r="C87" s="17"/>
      <c r="D87" s="17">
        <v>2</v>
      </c>
      <c r="E87" s="17"/>
      <c r="F87" s="17"/>
      <c r="G87" s="17"/>
      <c r="H87" s="17"/>
      <c r="I87" s="17"/>
      <c r="J87" s="17">
        <v>2</v>
      </c>
    </row>
    <row r="88" s="57" customFormat="1" ht="15" customHeight="1" spans="1:10">
      <c r="A88" s="20"/>
      <c r="B88" s="16" t="s">
        <v>138</v>
      </c>
      <c r="C88" s="17"/>
      <c r="D88" s="17">
        <v>3</v>
      </c>
      <c r="E88" s="17"/>
      <c r="F88" s="17">
        <v>1</v>
      </c>
      <c r="G88" s="17"/>
      <c r="H88" s="17">
        <v>5</v>
      </c>
      <c r="I88" s="17"/>
      <c r="J88" s="17">
        <v>9</v>
      </c>
    </row>
    <row r="89" s="57" customFormat="1" ht="15" customHeight="1" spans="1:10">
      <c r="A89" s="20"/>
      <c r="B89" s="16" t="s">
        <v>139</v>
      </c>
      <c r="C89" s="17"/>
      <c r="D89" s="17"/>
      <c r="E89" s="17"/>
      <c r="F89" s="17">
        <v>3</v>
      </c>
      <c r="G89" s="17"/>
      <c r="H89" s="17"/>
      <c r="I89" s="17"/>
      <c r="J89" s="17">
        <v>3</v>
      </c>
    </row>
    <row r="90" s="57" customFormat="1" ht="19.25" spans="1:10">
      <c r="A90" s="22" t="s">
        <v>140</v>
      </c>
      <c r="B90" s="23"/>
      <c r="C90" s="24"/>
      <c r="D90" s="24"/>
      <c r="E90" s="24"/>
      <c r="F90" s="24"/>
      <c r="G90" s="24"/>
      <c r="H90" s="24"/>
      <c r="I90" s="24"/>
      <c r="J90" s="26"/>
    </row>
    <row r="91" s="57" customFormat="1" spans="1:10">
      <c r="A91" s="15"/>
      <c r="B91" s="30" t="s">
        <v>141</v>
      </c>
      <c r="C91" s="17"/>
      <c r="D91" s="17"/>
      <c r="E91" s="17"/>
      <c r="F91" s="17">
        <v>1</v>
      </c>
      <c r="G91" s="17"/>
      <c r="H91" s="17">
        <v>5</v>
      </c>
      <c r="I91" s="17"/>
      <c r="J91" s="17">
        <v>6</v>
      </c>
    </row>
    <row r="92" s="57" customFormat="1" spans="1:10">
      <c r="A92" s="15"/>
      <c r="B92" s="16" t="s">
        <v>142</v>
      </c>
      <c r="C92" s="17"/>
      <c r="D92" s="17">
        <v>3</v>
      </c>
      <c r="E92" s="17"/>
      <c r="F92" s="17">
        <v>2</v>
      </c>
      <c r="G92" s="17"/>
      <c r="H92" s="17">
        <v>4</v>
      </c>
      <c r="I92" s="17"/>
      <c r="J92" s="17">
        <v>9</v>
      </c>
    </row>
    <row r="93" s="57" customFormat="1" spans="1:10">
      <c r="A93" s="15"/>
      <c r="B93" s="16" t="s">
        <v>143</v>
      </c>
      <c r="C93" s="17"/>
      <c r="D93" s="17">
        <v>3</v>
      </c>
      <c r="E93" s="17"/>
      <c r="F93" s="17">
        <v>1</v>
      </c>
      <c r="G93" s="17"/>
      <c r="H93" s="17"/>
      <c r="I93" s="17"/>
      <c r="J93" s="68">
        <v>4</v>
      </c>
    </row>
    <row r="94" s="57" customFormat="1" spans="1:10">
      <c r="A94" s="15"/>
      <c r="B94" s="16" t="s">
        <v>144</v>
      </c>
      <c r="C94" s="17"/>
      <c r="D94" s="17">
        <v>3</v>
      </c>
      <c r="E94" s="17">
        <v>1</v>
      </c>
      <c r="F94" s="17">
        <v>1</v>
      </c>
      <c r="G94" s="17"/>
      <c r="H94" s="17">
        <v>5</v>
      </c>
      <c r="I94" s="17"/>
      <c r="J94" s="17">
        <v>10</v>
      </c>
    </row>
    <row r="95" s="57" customFormat="1" spans="1:10">
      <c r="A95" s="15"/>
      <c r="B95" s="16" t="s">
        <v>145</v>
      </c>
      <c r="C95" s="17"/>
      <c r="D95" s="17">
        <v>2</v>
      </c>
      <c r="E95" s="17"/>
      <c r="F95" s="17">
        <v>2</v>
      </c>
      <c r="G95" s="17"/>
      <c r="H95" s="17"/>
      <c r="I95" s="17"/>
      <c r="J95" s="17">
        <v>4</v>
      </c>
    </row>
    <row r="96" s="57" customFormat="1" spans="1:10">
      <c r="A96" s="15"/>
      <c r="B96" s="16" t="s">
        <v>146</v>
      </c>
      <c r="C96" s="17"/>
      <c r="D96" s="17">
        <v>7</v>
      </c>
      <c r="E96" s="17"/>
      <c r="F96" s="17">
        <v>1</v>
      </c>
      <c r="G96" s="17"/>
      <c r="H96" s="17">
        <v>5</v>
      </c>
      <c r="I96" s="17"/>
      <c r="J96" s="17">
        <v>13</v>
      </c>
    </row>
    <row r="97" s="57" customFormat="1" ht="15.25" spans="1:10">
      <c r="A97" s="15"/>
      <c r="B97" s="16" t="s">
        <v>147</v>
      </c>
      <c r="C97" s="17"/>
      <c r="D97" s="17">
        <v>4</v>
      </c>
      <c r="E97" s="17"/>
      <c r="F97" s="17">
        <v>5</v>
      </c>
      <c r="G97" s="17"/>
      <c r="H97" s="17">
        <v>15</v>
      </c>
      <c r="I97" s="17"/>
      <c r="J97" s="17">
        <v>24</v>
      </c>
    </row>
    <row r="98" s="57" customFormat="1" ht="15" customHeight="1" spans="1:10">
      <c r="A98" s="36" t="s">
        <v>148</v>
      </c>
      <c r="B98" s="19" t="s">
        <v>149</v>
      </c>
      <c r="C98" s="17"/>
      <c r="D98" s="17">
        <v>10</v>
      </c>
      <c r="E98" s="17">
        <v>2</v>
      </c>
      <c r="F98" s="17"/>
      <c r="G98" s="17"/>
      <c r="H98" s="17">
        <v>13</v>
      </c>
      <c r="I98" s="17"/>
      <c r="J98" s="17">
        <v>25</v>
      </c>
    </row>
    <row r="99" s="57" customFormat="1" ht="15" customHeight="1" spans="1:10">
      <c r="A99" s="37"/>
      <c r="B99" s="16" t="s">
        <v>150</v>
      </c>
      <c r="C99" s="17"/>
      <c r="D99" s="17"/>
      <c r="E99" s="17"/>
      <c r="F99" s="17"/>
      <c r="G99" s="17"/>
      <c r="H99" s="17">
        <v>1</v>
      </c>
      <c r="I99" s="17"/>
      <c r="J99" s="17">
        <v>1</v>
      </c>
    </row>
    <row r="100" s="57" customFormat="1" ht="15" customHeight="1" spans="1:10">
      <c r="A100" s="37"/>
      <c r="B100" s="16" t="s">
        <v>151</v>
      </c>
      <c r="C100" s="17"/>
      <c r="D100" s="17"/>
      <c r="E100" s="17">
        <v>20</v>
      </c>
      <c r="F100" s="17"/>
      <c r="G100" s="17"/>
      <c r="H100" s="17"/>
      <c r="I100" s="17"/>
      <c r="J100" s="17">
        <v>20</v>
      </c>
    </row>
    <row r="101" s="57" customFormat="1" ht="19.25" spans="1:10">
      <c r="A101" s="27" t="s">
        <v>152</v>
      </c>
      <c r="B101" s="23"/>
      <c r="C101" s="24"/>
      <c r="D101" s="24"/>
      <c r="E101" s="24"/>
      <c r="F101" s="24"/>
      <c r="G101" s="24"/>
      <c r="H101" s="24"/>
      <c r="I101" s="24"/>
      <c r="J101" s="26"/>
    </row>
    <row r="102" s="57" customFormat="1" ht="15" customHeight="1" spans="1:10">
      <c r="A102" s="18" t="s">
        <v>153</v>
      </c>
      <c r="B102" s="30" t="s">
        <v>153</v>
      </c>
      <c r="C102" s="17"/>
      <c r="D102" s="17"/>
      <c r="E102" s="17"/>
      <c r="F102" s="17"/>
      <c r="G102" s="17"/>
      <c r="H102" s="17">
        <v>1</v>
      </c>
      <c r="I102" s="17"/>
      <c r="J102" s="17">
        <v>1</v>
      </c>
    </row>
    <row r="103" s="57" customFormat="1" ht="15" customHeight="1" spans="1:10">
      <c r="A103" s="20"/>
      <c r="B103" s="16" t="s">
        <v>154</v>
      </c>
      <c r="C103" s="17"/>
      <c r="D103" s="17">
        <v>1</v>
      </c>
      <c r="E103" s="17"/>
      <c r="F103" s="17"/>
      <c r="G103" s="17"/>
      <c r="H103" s="17"/>
      <c r="I103" s="17"/>
      <c r="J103" s="17">
        <v>1</v>
      </c>
    </row>
    <row r="104" s="57" customFormat="1" ht="19.25" spans="1:10">
      <c r="A104" s="27" t="s">
        <v>155</v>
      </c>
      <c r="B104" s="23"/>
      <c r="C104" s="24"/>
      <c r="D104" s="24"/>
      <c r="E104" s="24"/>
      <c r="F104" s="24"/>
      <c r="G104" s="24"/>
      <c r="H104" s="24"/>
      <c r="I104" s="24"/>
      <c r="J104" s="26"/>
    </row>
    <row r="105" s="57" customFormat="1" ht="15" customHeight="1" spans="1:10">
      <c r="A105" s="18" t="s">
        <v>156</v>
      </c>
      <c r="B105" s="19" t="s">
        <v>157</v>
      </c>
      <c r="C105" s="17"/>
      <c r="D105" s="17">
        <v>3</v>
      </c>
      <c r="E105" s="17"/>
      <c r="F105" s="17">
        <v>1</v>
      </c>
      <c r="G105" s="17">
        <v>4</v>
      </c>
      <c r="H105" s="17">
        <v>1</v>
      </c>
      <c r="I105" s="17"/>
      <c r="J105" s="17">
        <f>SUM(D105:I105)</f>
        <v>9</v>
      </c>
    </row>
    <row r="106" s="57" customFormat="1" ht="15" customHeight="1" spans="1:10">
      <c r="A106" s="20"/>
      <c r="B106" s="16" t="s">
        <v>158</v>
      </c>
      <c r="C106" s="17"/>
      <c r="D106" s="17"/>
      <c r="E106" s="17"/>
      <c r="F106" s="17">
        <v>1</v>
      </c>
      <c r="G106" s="17"/>
      <c r="H106" s="17">
        <v>1</v>
      </c>
      <c r="I106" s="17"/>
      <c r="J106" s="17">
        <v>2</v>
      </c>
    </row>
    <row r="107" s="57" customFormat="1" ht="19.25" spans="1:10">
      <c r="A107" s="27" t="s">
        <v>159</v>
      </c>
      <c r="B107" s="23"/>
      <c r="C107" s="24"/>
      <c r="D107" s="24"/>
      <c r="E107" s="24"/>
      <c r="F107" s="24"/>
      <c r="G107" s="24"/>
      <c r="H107" s="24"/>
      <c r="I107" s="24"/>
      <c r="J107" s="26"/>
    </row>
    <row r="108" s="57" customFormat="1" ht="15" customHeight="1" spans="1:10">
      <c r="A108" s="18" t="s">
        <v>160</v>
      </c>
      <c r="B108" s="30" t="s">
        <v>161</v>
      </c>
      <c r="C108" s="17"/>
      <c r="D108" s="17">
        <v>1</v>
      </c>
      <c r="E108" s="17"/>
      <c r="F108" s="17">
        <v>1</v>
      </c>
      <c r="G108" s="17"/>
      <c r="H108" s="17">
        <v>2</v>
      </c>
      <c r="I108" s="17"/>
      <c r="J108" s="17">
        <v>4</v>
      </c>
    </row>
    <row r="109" s="57" customFormat="1" ht="15" customHeight="1" spans="1:10">
      <c r="A109" s="20"/>
      <c r="B109" s="30" t="s">
        <v>162</v>
      </c>
      <c r="C109" s="69"/>
      <c r="D109" s="69"/>
      <c r="E109" s="69"/>
      <c r="F109" s="69"/>
      <c r="G109" s="69"/>
      <c r="H109" s="69"/>
      <c r="I109" s="69"/>
      <c r="J109" s="68"/>
    </row>
    <row r="110" s="57" customFormat="1" ht="15" customHeight="1" spans="1:10">
      <c r="A110" s="20"/>
      <c r="B110" s="16" t="s">
        <v>163</v>
      </c>
      <c r="C110" s="17"/>
      <c r="D110" s="17">
        <v>2</v>
      </c>
      <c r="E110" s="17"/>
      <c r="F110" s="17"/>
      <c r="G110" s="17"/>
      <c r="H110" s="17">
        <v>4</v>
      </c>
      <c r="I110" s="17"/>
      <c r="J110" s="17">
        <v>6</v>
      </c>
    </row>
    <row r="111" s="57" customFormat="1" ht="19.25" spans="1:10">
      <c r="A111" s="27" t="s">
        <v>164</v>
      </c>
      <c r="B111" s="23"/>
      <c r="C111" s="24"/>
      <c r="D111" s="24"/>
      <c r="E111" s="24"/>
      <c r="F111" s="24"/>
      <c r="G111" s="24"/>
      <c r="H111" s="24"/>
      <c r="I111" s="24"/>
      <c r="J111" s="26"/>
    </row>
    <row r="112" s="57" customFormat="1" ht="15" customHeight="1" spans="1:10">
      <c r="A112" s="20"/>
      <c r="B112" s="38" t="s">
        <v>165</v>
      </c>
      <c r="C112" s="69"/>
      <c r="D112" s="69"/>
      <c r="E112" s="69"/>
      <c r="F112" s="69"/>
      <c r="G112" s="69"/>
      <c r="H112" s="69"/>
      <c r="I112" s="69"/>
      <c r="J112" s="68"/>
    </row>
    <row r="113" s="57" customFormat="1" spans="1:10">
      <c r="A113" s="15"/>
      <c r="B113" s="16" t="s">
        <v>166</v>
      </c>
      <c r="C113" s="17"/>
      <c r="D113" s="17">
        <v>2</v>
      </c>
      <c r="E113" s="17"/>
      <c r="F113" s="17">
        <v>3</v>
      </c>
      <c r="G113" s="17"/>
      <c r="H113" s="17">
        <v>2</v>
      </c>
      <c r="I113" s="17"/>
      <c r="J113" s="17">
        <v>7</v>
      </c>
    </row>
    <row r="114" s="57" customFormat="1" ht="15.25" spans="1:10">
      <c r="A114" s="15"/>
      <c r="B114" s="41" t="s">
        <v>167</v>
      </c>
      <c r="C114" s="17"/>
      <c r="D114" s="17">
        <v>1</v>
      </c>
      <c r="E114" s="17"/>
      <c r="F114" s="17"/>
      <c r="G114" s="17"/>
      <c r="H114" s="17">
        <v>10</v>
      </c>
      <c r="I114" s="17"/>
      <c r="J114" s="17">
        <v>11</v>
      </c>
    </row>
    <row r="115" s="57" customFormat="1" ht="19.5" customHeight="1" spans="1:10">
      <c r="A115" s="42" t="s">
        <v>168</v>
      </c>
      <c r="B115" s="43" t="s">
        <v>169</v>
      </c>
      <c r="C115" s="32"/>
      <c r="D115" s="32"/>
      <c r="E115" s="32"/>
      <c r="F115" s="32"/>
      <c r="G115" s="32"/>
      <c r="H115" s="32"/>
      <c r="I115" s="32"/>
      <c r="J115" s="72"/>
    </row>
    <row r="116" s="57" customFormat="1" ht="19.5" customHeight="1" spans="1:10">
      <c r="A116" s="44"/>
      <c r="B116" s="45" t="s">
        <v>170</v>
      </c>
      <c r="C116" s="17"/>
      <c r="D116" s="17"/>
      <c r="E116" s="17"/>
      <c r="F116" s="17"/>
      <c r="G116" s="17"/>
      <c r="H116" s="17"/>
      <c r="I116" s="17"/>
      <c r="J116" s="68"/>
    </row>
    <row r="117" s="57" customFormat="1" ht="19.5" customHeight="1" spans="1:10">
      <c r="A117" s="44"/>
      <c r="B117" s="45" t="s">
        <v>171</v>
      </c>
      <c r="C117" s="17"/>
      <c r="D117" s="17"/>
      <c r="E117" s="17"/>
      <c r="F117" s="17"/>
      <c r="G117" s="17"/>
      <c r="H117" s="17"/>
      <c r="I117" s="17"/>
      <c r="J117" s="68"/>
    </row>
    <row r="118" s="57" customFormat="1" ht="19.5" customHeight="1" spans="1:10">
      <c r="A118" s="44"/>
      <c r="B118" s="45" t="s">
        <v>172</v>
      </c>
      <c r="C118" s="17"/>
      <c r="D118" s="17"/>
      <c r="E118" s="17"/>
      <c r="F118" s="17"/>
      <c r="G118" s="17"/>
      <c r="H118" s="17"/>
      <c r="I118" s="17"/>
      <c r="J118" s="68"/>
    </row>
    <row r="119" s="57" customFormat="1" ht="18.75" customHeight="1" spans="1:10">
      <c r="A119" s="46"/>
      <c r="B119" s="45" t="s">
        <v>173</v>
      </c>
      <c r="C119" s="17"/>
      <c r="D119" s="17"/>
      <c r="E119" s="17"/>
      <c r="F119" s="17"/>
      <c r="G119" s="17"/>
      <c r="H119" s="17"/>
      <c r="I119" s="17"/>
      <c r="J119" s="68"/>
    </row>
    <row r="120" s="57" customFormat="1" ht="19.25" spans="1:10">
      <c r="A120" s="27" t="s">
        <v>174</v>
      </c>
      <c r="B120" s="23"/>
      <c r="C120" s="24"/>
      <c r="D120" s="24"/>
      <c r="E120" s="24"/>
      <c r="F120" s="24"/>
      <c r="G120" s="24"/>
      <c r="H120" s="24"/>
      <c r="I120" s="24"/>
      <c r="J120" s="26"/>
    </row>
    <row r="121" spans="1:10">
      <c r="A121" s="16" t="s">
        <v>175</v>
      </c>
      <c r="B121" s="16" t="s">
        <v>176</v>
      </c>
      <c r="C121" s="17"/>
      <c r="D121" s="17"/>
      <c r="E121" s="17"/>
      <c r="F121" s="17"/>
      <c r="G121" s="17"/>
      <c r="H121" s="17"/>
      <c r="I121" s="17"/>
      <c r="J121" s="68"/>
    </row>
    <row r="122" spans="1:10">
      <c r="A122" s="15"/>
      <c r="B122" s="41" t="s">
        <v>177</v>
      </c>
      <c r="C122" s="47"/>
      <c r="D122" s="47"/>
      <c r="E122" s="47"/>
      <c r="F122" s="47"/>
      <c r="G122" s="47"/>
      <c r="H122" s="47"/>
      <c r="I122" s="47"/>
      <c r="J122" s="70"/>
    </row>
    <row r="123" s="71" customFormat="1" ht="18.5" spans="1:10">
      <c r="A123" s="49"/>
      <c r="B123" s="50" t="s">
        <v>178</v>
      </c>
      <c r="C123" s="51"/>
      <c r="D123" s="51"/>
      <c r="E123" s="51"/>
      <c r="F123" s="51"/>
      <c r="G123" s="51"/>
      <c r="H123" s="51"/>
      <c r="I123" s="51"/>
      <c r="J123" s="51"/>
    </row>
    <row r="124" s="71" customFormat="1" ht="19.25" spans="1:10">
      <c r="A124" s="52"/>
      <c r="B124" s="53" t="s">
        <v>11</v>
      </c>
      <c r="C124" s="54">
        <f t="shared" ref="C124:J124" si="0">SUM(C5:C123)</f>
        <v>4</v>
      </c>
      <c r="D124" s="54">
        <f t="shared" si="0"/>
        <v>200</v>
      </c>
      <c r="E124" s="54">
        <f t="shared" si="0"/>
        <v>25</v>
      </c>
      <c r="F124" s="54">
        <f t="shared" si="0"/>
        <v>150</v>
      </c>
      <c r="G124" s="54">
        <f t="shared" si="0"/>
        <v>4</v>
      </c>
      <c r="H124" s="54">
        <f t="shared" si="0"/>
        <v>556</v>
      </c>
      <c r="I124" s="54">
        <f t="shared" si="0"/>
        <v>2</v>
      </c>
      <c r="J124" s="56">
        <f t="shared" si="0"/>
        <v>941</v>
      </c>
    </row>
    <row r="125" spans="1:10">
      <c r="C125" s="57">
        <v>4</v>
      </c>
      <c r="D125" s="57">
        <v>200</v>
      </c>
      <c r="E125" s="57">
        <v>21</v>
      </c>
      <c r="F125" s="57">
        <v>150</v>
      </c>
      <c r="G125" s="57">
        <v>4</v>
      </c>
      <c r="H125" s="57">
        <v>561</v>
      </c>
      <c r="I125" s="57">
        <v>2</v>
      </c>
      <c r="J125" s="57">
        <f>SUM(C125:I125)</f>
        <v>942</v>
      </c>
    </row>
  </sheetData>
  <mergeCells count="4">
    <mergeCell ref="A1:J1"/>
    <mergeCell ref="A29:A31"/>
    <mergeCell ref="A45:A48"/>
    <mergeCell ref="A115:A11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5"/>
  <sheetViews>
    <sheetView workbookViewId="0">
      <selection activeCell="A1" sqref="$A1:$XFD1048576"/>
    </sheetView>
  </sheetViews>
  <sheetFormatPr defaultColWidth="9" defaultRowHeight="14.5"/>
  <cols>
    <col min="1" max="1" width="40.2818181818182" customWidth="1"/>
    <col min="2" max="2" width="26" customWidth="1"/>
    <col min="3" max="4" width="11.1363636363636" customWidth="1"/>
    <col min="5" max="5" width="18.5727272727273" customWidth="1"/>
    <col min="6" max="6" width="13.4272727272727" customWidth="1"/>
    <col min="7" max="7" width="11.1363636363636" customWidth="1"/>
    <col min="8" max="8" width="14" customWidth="1"/>
    <col min="9" max="9" width="11.1363636363636" customWidth="1"/>
    <col min="10" max="10" width="15" customWidth="1"/>
    <col min="11" max="11" width="14" customWidth="1"/>
    <col min="12" max="12" width="18.2818181818182" customWidth="1"/>
    <col min="13" max="13" width="11.1363636363636" customWidth="1"/>
    <col min="14" max="14" width="12.8545454545455" customWidth="1"/>
    <col min="15" max="16" width="14.5727272727273" customWidth="1"/>
    <col min="17" max="17" width="11.8545454545455" customWidth="1"/>
  </cols>
  <sheetData>
    <row r="1" ht="36.75" spans="1:17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ht="15.5" hidden="1" spans="1:17">
      <c r="A2" s="58"/>
      <c r="B2" s="59" t="s">
        <v>1</v>
      </c>
      <c r="C2" s="60" t="s">
        <v>2</v>
      </c>
      <c r="D2" s="60" t="s">
        <v>3</v>
      </c>
      <c r="E2" s="60" t="s">
        <v>4</v>
      </c>
      <c r="F2" s="60" t="s">
        <v>5</v>
      </c>
      <c r="G2" s="60" t="s">
        <v>6</v>
      </c>
      <c r="H2" s="60" t="s">
        <v>6</v>
      </c>
      <c r="I2" s="60" t="s">
        <v>7</v>
      </c>
      <c r="J2" s="60" t="s">
        <v>8</v>
      </c>
      <c r="K2" s="60" t="s">
        <v>8</v>
      </c>
      <c r="L2" s="60" t="s">
        <v>8</v>
      </c>
      <c r="M2" s="60" t="s">
        <v>9</v>
      </c>
      <c r="N2" s="60" t="s">
        <v>9</v>
      </c>
      <c r="O2" s="60" t="s">
        <v>9</v>
      </c>
      <c r="P2" s="60" t="s">
        <v>10</v>
      </c>
      <c r="Q2" s="61" t="s">
        <v>11</v>
      </c>
    </row>
    <row r="3" ht="15.5" spans="1:17">
      <c r="A3" s="7"/>
      <c r="B3" s="62" t="s">
        <v>1</v>
      </c>
      <c r="C3" s="63" t="s">
        <v>194</v>
      </c>
      <c r="D3" s="63" t="s">
        <v>195</v>
      </c>
      <c r="E3" s="63" t="s">
        <v>196</v>
      </c>
      <c r="F3" s="63" t="s">
        <v>197</v>
      </c>
      <c r="G3" s="63" t="s">
        <v>198</v>
      </c>
      <c r="H3" s="63" t="s">
        <v>199</v>
      </c>
      <c r="I3" s="63" t="s">
        <v>200</v>
      </c>
      <c r="J3" s="63" t="s">
        <v>201</v>
      </c>
      <c r="K3" s="63" t="s">
        <v>202</v>
      </c>
      <c r="L3" s="63" t="s">
        <v>203</v>
      </c>
      <c r="M3" s="63" t="s">
        <v>204</v>
      </c>
      <c r="N3" s="63" t="s">
        <v>205</v>
      </c>
      <c r="O3" s="63" t="s">
        <v>206</v>
      </c>
      <c r="P3" s="63" t="s">
        <v>207</v>
      </c>
      <c r="Q3" s="64" t="s">
        <v>27</v>
      </c>
    </row>
    <row r="4" ht="15.5" spans="1:17">
      <c r="A4" s="7"/>
      <c r="B4" s="65"/>
      <c r="C4" s="66" t="s">
        <v>208</v>
      </c>
      <c r="D4" s="66" t="s">
        <v>209</v>
      </c>
      <c r="E4" s="66" t="s">
        <v>210</v>
      </c>
      <c r="F4" s="66" t="s">
        <v>211</v>
      </c>
      <c r="G4" s="66" t="s">
        <v>212</v>
      </c>
      <c r="H4" s="66" t="s">
        <v>213</v>
      </c>
      <c r="I4" s="66"/>
      <c r="J4" s="66" t="s">
        <v>214</v>
      </c>
      <c r="K4" s="66" t="s">
        <v>215</v>
      </c>
      <c r="L4" s="66" t="s">
        <v>216</v>
      </c>
      <c r="M4" s="66"/>
      <c r="N4" s="66" t="s">
        <v>217</v>
      </c>
      <c r="O4" s="66" t="s">
        <v>218</v>
      </c>
      <c r="P4" s="66" t="s">
        <v>219</v>
      </c>
      <c r="Q4" s="67"/>
    </row>
    <row r="5" spans="1:17">
      <c r="A5" s="15"/>
      <c r="B5" s="16" t="s">
        <v>43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68"/>
    </row>
    <row r="6" spans="1:17">
      <c r="A6" s="15"/>
      <c r="B6" s="16" t="s">
        <v>44</v>
      </c>
      <c r="C6" s="17"/>
      <c r="D6" s="17"/>
      <c r="E6" s="17"/>
      <c r="F6" s="17"/>
      <c r="G6" s="17"/>
      <c r="H6" s="17">
        <v>1</v>
      </c>
      <c r="I6" s="17"/>
      <c r="J6" s="17"/>
      <c r="K6" s="17"/>
      <c r="L6" s="17"/>
      <c r="M6" s="17"/>
      <c r="N6" s="17"/>
      <c r="O6" s="17"/>
      <c r="P6" s="17"/>
      <c r="Q6" s="68">
        <v>1</v>
      </c>
    </row>
    <row r="7" spans="1:17">
      <c r="A7" s="15"/>
      <c r="B7" s="16" t="s">
        <v>45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68"/>
    </row>
    <row r="8" spans="1:17">
      <c r="A8" s="15"/>
      <c r="B8" s="16" t="s">
        <v>46</v>
      </c>
      <c r="C8" s="17"/>
      <c r="D8" s="17"/>
      <c r="E8" s="17"/>
      <c r="F8" s="17"/>
      <c r="G8" s="17"/>
      <c r="H8" s="17">
        <v>1</v>
      </c>
      <c r="I8" s="17"/>
      <c r="J8" s="17"/>
      <c r="K8" s="17"/>
      <c r="L8" s="17"/>
      <c r="M8" s="17"/>
      <c r="N8" s="17"/>
      <c r="O8" s="17"/>
      <c r="P8" s="17"/>
      <c r="Q8" s="68">
        <v>1</v>
      </c>
    </row>
    <row r="9" ht="15.25" spans="1:17">
      <c r="A9" s="15"/>
      <c r="B9" s="16" t="s">
        <v>47</v>
      </c>
      <c r="C9" s="17">
        <v>6</v>
      </c>
      <c r="D9" s="17">
        <v>9</v>
      </c>
      <c r="E9" s="17">
        <v>1</v>
      </c>
      <c r="F9" s="17"/>
      <c r="G9" s="17"/>
      <c r="H9" s="17">
        <v>3</v>
      </c>
      <c r="I9" s="17"/>
      <c r="J9" s="17">
        <v>1</v>
      </c>
      <c r="K9" s="17">
        <v>4</v>
      </c>
      <c r="L9" s="17"/>
      <c r="M9" s="17">
        <v>9</v>
      </c>
      <c r="N9" s="17"/>
      <c r="O9" s="17">
        <v>1</v>
      </c>
      <c r="P9" s="17"/>
      <c r="Q9" s="17">
        <v>34</v>
      </c>
    </row>
    <row r="10" ht="18.5" spans="1:17">
      <c r="A10" s="18" t="s">
        <v>48</v>
      </c>
      <c r="B10" s="19" t="s">
        <v>49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68"/>
    </row>
    <row r="11" ht="18.5" spans="1:17">
      <c r="A11" s="20"/>
      <c r="B11" s="16" t="s">
        <v>51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68"/>
    </row>
    <row r="12" ht="18.5" spans="1:17">
      <c r="A12" s="20"/>
      <c r="B12" s="16" t="s">
        <v>52</v>
      </c>
      <c r="C12" s="17"/>
      <c r="D12" s="17"/>
      <c r="E12" s="17"/>
      <c r="F12" s="17"/>
      <c r="G12" s="17"/>
      <c r="H12" s="17">
        <v>1</v>
      </c>
      <c r="I12" s="17"/>
      <c r="J12" s="17"/>
      <c r="K12" s="17"/>
      <c r="L12" s="17"/>
      <c r="M12" s="17"/>
      <c r="N12" s="17"/>
      <c r="O12" s="17"/>
      <c r="P12" s="17"/>
      <c r="Q12" s="17">
        <v>1</v>
      </c>
    </row>
    <row r="13" ht="18.5" spans="1:17">
      <c r="A13" s="20"/>
      <c r="B13" s="16" t="s">
        <v>53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68"/>
    </row>
    <row r="14" ht="18.5" spans="1:17">
      <c r="A14" s="20"/>
      <c r="B14" s="16" t="s">
        <v>54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68"/>
    </row>
    <row r="15" ht="18.5" spans="1:17">
      <c r="A15" s="20"/>
      <c r="B15" s="16" t="s">
        <v>55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68"/>
    </row>
    <row r="16" ht="18.5" spans="1:17">
      <c r="A16" s="20"/>
      <c r="B16" s="16" t="s">
        <v>56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68"/>
    </row>
    <row r="17" ht="19.25" spans="1:17">
      <c r="A17" s="22" t="s">
        <v>57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6"/>
    </row>
    <row r="18" ht="18.5" spans="1:17">
      <c r="A18" s="18" t="s">
        <v>58</v>
      </c>
      <c r="B18" s="19" t="s">
        <v>59</v>
      </c>
      <c r="C18" s="17"/>
      <c r="D18" s="17"/>
      <c r="E18" s="17"/>
      <c r="F18" s="17"/>
      <c r="G18" s="17"/>
      <c r="H18" s="17"/>
      <c r="I18" s="17"/>
      <c r="J18" s="17"/>
      <c r="K18" s="17">
        <v>2</v>
      </c>
      <c r="L18" s="17"/>
      <c r="M18" s="17"/>
      <c r="N18" s="17"/>
      <c r="O18" s="17"/>
      <c r="P18" s="17"/>
      <c r="Q18" s="17">
        <v>2</v>
      </c>
    </row>
    <row r="19" ht="18.5" spans="1:17">
      <c r="A19" s="20"/>
      <c r="B19" s="16" t="s">
        <v>60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68"/>
    </row>
    <row r="20" ht="19.25" spans="1:17">
      <c r="A20" s="22" t="s">
        <v>61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6"/>
    </row>
    <row r="21" ht="18.5" spans="1:17">
      <c r="A21" s="18" t="s">
        <v>62</v>
      </c>
      <c r="B21" s="19" t="s">
        <v>63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68"/>
    </row>
    <row r="22" ht="18.5" spans="1:17">
      <c r="A22" s="20"/>
      <c r="B22" s="16" t="s">
        <v>64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1</v>
      </c>
      <c r="P22" s="17"/>
      <c r="Q22" s="17">
        <v>1</v>
      </c>
    </row>
    <row r="23" ht="18.5" spans="1:17">
      <c r="A23" s="20"/>
      <c r="B23" s="16" t="s">
        <v>65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68"/>
    </row>
    <row r="24" ht="18.5" spans="1:17">
      <c r="A24" s="20"/>
      <c r="B24" s="16" t="s">
        <v>66</v>
      </c>
      <c r="C24" s="17"/>
      <c r="D24" s="17"/>
      <c r="E24" s="17"/>
      <c r="F24" s="17"/>
      <c r="G24" s="17"/>
      <c r="H24" s="17"/>
      <c r="I24" s="17"/>
      <c r="J24" s="17"/>
      <c r="K24" s="17">
        <v>1</v>
      </c>
      <c r="L24" s="17"/>
      <c r="M24" s="17"/>
      <c r="N24" s="17"/>
      <c r="O24" s="17"/>
      <c r="P24" s="17"/>
      <c r="Q24" s="17">
        <v>1</v>
      </c>
    </row>
    <row r="25" ht="19.25" spans="1:17">
      <c r="A25" s="27" t="s">
        <v>67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6"/>
    </row>
    <row r="26" ht="18.5" spans="1:17">
      <c r="A26" s="20" t="s">
        <v>68</v>
      </c>
      <c r="B26" s="16" t="s">
        <v>68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68"/>
    </row>
    <row r="27" ht="18.5" spans="1:17">
      <c r="A27" s="20"/>
      <c r="B27" s="16" t="s">
        <v>69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1</v>
      </c>
      <c r="P27" s="17"/>
      <c r="Q27" s="17">
        <v>1</v>
      </c>
    </row>
    <row r="28" ht="19.25" spans="1:17">
      <c r="A28" s="27" t="s">
        <v>70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6"/>
    </row>
    <row r="29" spans="1:17">
      <c r="A29" s="28" t="s">
        <v>71</v>
      </c>
      <c r="B29" s="19" t="s">
        <v>72</v>
      </c>
      <c r="C29" s="17"/>
      <c r="D29" s="17"/>
      <c r="E29" s="17"/>
      <c r="F29" s="17"/>
      <c r="G29" s="17"/>
      <c r="H29" s="17"/>
      <c r="I29" s="17"/>
      <c r="J29" s="17"/>
      <c r="K29" s="17">
        <v>1</v>
      </c>
      <c r="L29" s="17"/>
      <c r="M29" s="17"/>
      <c r="N29" s="17"/>
      <c r="O29" s="17"/>
      <c r="P29" s="17"/>
      <c r="Q29" s="17">
        <v>1</v>
      </c>
    </row>
    <row r="30" spans="1:17">
      <c r="A30" s="29"/>
      <c r="B30" s="16" t="s">
        <v>74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68"/>
    </row>
    <row r="31" spans="1:17">
      <c r="A31" s="29"/>
      <c r="B31" s="16" t="s">
        <v>75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68"/>
    </row>
    <row r="32" ht="18.5" spans="1:17">
      <c r="A32" s="20"/>
      <c r="B32" s="16" t="s">
        <v>76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68"/>
    </row>
    <row r="33" ht="18.5" spans="1:17">
      <c r="A33" s="20"/>
      <c r="B33" s="16" t="s">
        <v>77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68"/>
    </row>
    <row r="34" ht="18.5" spans="1:17">
      <c r="A34" s="20"/>
      <c r="B34" s="16" t="s">
        <v>78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68"/>
    </row>
    <row r="35" ht="18.5" spans="1:17">
      <c r="A35" s="20"/>
      <c r="B35" s="16" t="s">
        <v>79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68"/>
    </row>
    <row r="36" ht="18.5" spans="1:17">
      <c r="A36" s="20"/>
      <c r="B36" s="16" t="s">
        <v>80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68"/>
    </row>
    <row r="37" ht="18.5" spans="1:17">
      <c r="A37" s="20"/>
      <c r="B37" s="16" t="s">
        <v>81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68"/>
    </row>
    <row r="38" ht="19.25" spans="1:17">
      <c r="A38" s="27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6"/>
    </row>
    <row r="39" spans="1:17">
      <c r="A39" s="15"/>
      <c r="B39" s="30" t="s">
        <v>82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2</v>
      </c>
      <c r="P39" s="17"/>
      <c r="Q39" s="17">
        <v>2</v>
      </c>
    </row>
    <row r="40" spans="1:17">
      <c r="A40" s="15"/>
      <c r="B40" s="16" t="s">
        <v>83</v>
      </c>
      <c r="C40" s="17"/>
      <c r="D40" s="17"/>
      <c r="E40" s="17"/>
      <c r="F40" s="17"/>
      <c r="G40" s="17"/>
      <c r="H40" s="17">
        <v>1</v>
      </c>
      <c r="I40" s="17"/>
      <c r="J40" s="17"/>
      <c r="K40" s="17"/>
      <c r="L40" s="17"/>
      <c r="M40" s="17"/>
      <c r="N40" s="17"/>
      <c r="O40" s="17"/>
      <c r="P40" s="17"/>
      <c r="Q40" s="17">
        <v>1</v>
      </c>
    </row>
    <row r="41" spans="1:17">
      <c r="A41" s="15"/>
      <c r="B41" s="16" t="s">
        <v>84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68"/>
    </row>
    <row r="42" spans="1:17">
      <c r="A42" s="15"/>
      <c r="B42" s="16" t="s">
        <v>85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68"/>
    </row>
    <row r="43" spans="1:17">
      <c r="A43" s="15"/>
      <c r="B43" s="16" t="s">
        <v>86</v>
      </c>
      <c r="C43" s="17"/>
      <c r="D43" s="17"/>
      <c r="E43" s="17"/>
      <c r="F43" s="17"/>
      <c r="G43" s="17"/>
      <c r="H43" s="17">
        <v>1</v>
      </c>
      <c r="I43" s="17"/>
      <c r="J43" s="17"/>
      <c r="K43" s="17"/>
      <c r="L43" s="17"/>
      <c r="M43" s="17"/>
      <c r="N43" s="17"/>
      <c r="O43" s="17"/>
      <c r="P43" s="17"/>
      <c r="Q43" s="17">
        <v>1</v>
      </c>
    </row>
    <row r="44" ht="15.25" spans="1:17">
      <c r="A44" s="15"/>
      <c r="B44" s="16" t="s">
        <v>87</v>
      </c>
      <c r="C44" s="17"/>
      <c r="D44" s="17"/>
      <c r="E44" s="17"/>
      <c r="F44" s="17"/>
      <c r="G44" s="17"/>
      <c r="H44" s="17">
        <v>1</v>
      </c>
      <c r="I44" s="17"/>
      <c r="J44" s="17"/>
      <c r="K44" s="17"/>
      <c r="L44" s="17"/>
      <c r="M44" s="17"/>
      <c r="N44" s="17"/>
      <c r="O44" s="17"/>
      <c r="P44" s="17"/>
      <c r="Q44" s="17">
        <v>1</v>
      </c>
    </row>
    <row r="45" spans="1:17">
      <c r="A45" s="31" t="s">
        <v>88</v>
      </c>
      <c r="B45" s="19" t="s">
        <v>89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68"/>
    </row>
    <row r="46" spans="1:17">
      <c r="A46" s="34"/>
      <c r="B46" s="16" t="s">
        <v>90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68"/>
    </row>
    <row r="47" spans="1:17">
      <c r="A47" s="34"/>
      <c r="B47" s="16" t="s">
        <v>91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68"/>
    </row>
    <row r="48" spans="1:17">
      <c r="A48" s="34"/>
      <c r="B48" s="16" t="s">
        <v>92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68"/>
    </row>
    <row r="49" ht="21" spans="1:17">
      <c r="A49" s="35"/>
      <c r="B49" s="16" t="s">
        <v>93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68"/>
    </row>
    <row r="50" ht="21" spans="1:17">
      <c r="A50" s="35"/>
      <c r="B50" s="16" t="s">
        <v>94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68"/>
    </row>
    <row r="51" ht="21" spans="1:17">
      <c r="A51" s="35"/>
      <c r="B51" s="16" t="s">
        <v>95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68"/>
    </row>
    <row r="52" ht="21" spans="1:17">
      <c r="A52" s="35"/>
      <c r="B52" s="16" t="s">
        <v>96</v>
      </c>
      <c r="C52" s="17"/>
      <c r="D52" s="17"/>
      <c r="E52" s="17"/>
      <c r="F52" s="17"/>
      <c r="G52" s="17"/>
      <c r="H52" s="17">
        <v>1</v>
      </c>
      <c r="I52" s="17"/>
      <c r="J52" s="17"/>
      <c r="K52" s="17"/>
      <c r="L52" s="17"/>
      <c r="M52" s="17"/>
      <c r="N52" s="17"/>
      <c r="O52" s="17"/>
      <c r="P52" s="17"/>
      <c r="Q52" s="17">
        <v>1</v>
      </c>
    </row>
    <row r="53" ht="21" spans="1:17">
      <c r="A53" s="35"/>
      <c r="B53" s="16" t="s">
        <v>97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68"/>
    </row>
    <row r="54" ht="19.25" spans="1:17">
      <c r="A54" s="27" t="s">
        <v>98</v>
      </c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6"/>
    </row>
    <row r="55" ht="18.5" spans="1:17">
      <c r="A55" s="36" t="s">
        <v>99</v>
      </c>
      <c r="B55" s="19" t="s">
        <v>100</v>
      </c>
      <c r="C55" s="17"/>
      <c r="D55" s="17"/>
      <c r="E55" s="17"/>
      <c r="F55" s="17"/>
      <c r="G55" s="17"/>
      <c r="H55" s="17">
        <v>1</v>
      </c>
      <c r="I55" s="17"/>
      <c r="J55" s="17"/>
      <c r="K55" s="17"/>
      <c r="L55" s="17"/>
      <c r="M55" s="17"/>
      <c r="N55" s="17"/>
      <c r="O55" s="17"/>
      <c r="P55" s="17"/>
      <c r="Q55" s="17">
        <v>1</v>
      </c>
    </row>
    <row r="56" ht="18.5" spans="1:17">
      <c r="A56" s="37"/>
      <c r="B56" s="16" t="s">
        <v>101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68"/>
    </row>
    <row r="57" ht="18.5" spans="1:17">
      <c r="A57" s="37"/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68"/>
    </row>
    <row r="58" ht="19.25" spans="1:17">
      <c r="A58" s="22" t="s">
        <v>103</v>
      </c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6"/>
    </row>
    <row r="59" ht="19.25" spans="1:17">
      <c r="A59" s="20" t="s">
        <v>104</v>
      </c>
      <c r="B59" s="38" t="s">
        <v>105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8"/>
    </row>
    <row r="60" ht="15.5" spans="1:17">
      <c r="A60" s="39" t="s">
        <v>106</v>
      </c>
      <c r="B60" s="19" t="s">
        <v>107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68"/>
    </row>
    <row r="61" ht="15.5" spans="1:17">
      <c r="A61" s="40"/>
      <c r="B61" s="16" t="s">
        <v>108</v>
      </c>
      <c r="C61" s="17"/>
      <c r="D61" s="17"/>
      <c r="E61" s="17"/>
      <c r="F61" s="17"/>
      <c r="G61" s="17"/>
      <c r="H61" s="17">
        <v>1</v>
      </c>
      <c r="I61" s="17"/>
      <c r="J61" s="17"/>
      <c r="K61" s="17"/>
      <c r="L61" s="17"/>
      <c r="M61" s="17"/>
      <c r="N61" s="17"/>
      <c r="O61" s="17"/>
      <c r="P61" s="17"/>
      <c r="Q61" s="17">
        <v>1</v>
      </c>
    </row>
    <row r="62" ht="19.25" spans="1:17">
      <c r="A62" s="27" t="s">
        <v>109</v>
      </c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6"/>
    </row>
    <row r="63" ht="15.25" spans="1:17">
      <c r="A63" s="15"/>
      <c r="B63" s="30" t="s">
        <v>110</v>
      </c>
      <c r="C63" s="17"/>
      <c r="D63" s="17"/>
      <c r="E63" s="17"/>
      <c r="F63" s="17"/>
      <c r="G63" s="17"/>
      <c r="H63" s="17">
        <v>1</v>
      </c>
      <c r="I63" s="17"/>
      <c r="J63" s="17"/>
      <c r="K63" s="17"/>
      <c r="L63" s="17"/>
      <c r="M63" s="17"/>
      <c r="N63" s="17"/>
      <c r="O63" s="17"/>
      <c r="P63" s="17"/>
      <c r="Q63" s="17">
        <v>1</v>
      </c>
    </row>
    <row r="64" ht="18.5" spans="1:17">
      <c r="A64" s="18" t="s">
        <v>111</v>
      </c>
      <c r="B64" s="19" t="s">
        <v>111</v>
      </c>
      <c r="C64" s="17"/>
      <c r="D64" s="17"/>
      <c r="E64" s="17"/>
      <c r="F64" s="17"/>
      <c r="G64" s="17"/>
      <c r="H64" s="17">
        <v>1</v>
      </c>
      <c r="I64" s="17"/>
      <c r="J64" s="17"/>
      <c r="K64" s="17">
        <v>3</v>
      </c>
      <c r="L64" s="17"/>
      <c r="M64" s="17"/>
      <c r="N64" s="17"/>
      <c r="O64" s="17">
        <v>1</v>
      </c>
      <c r="P64" s="17"/>
      <c r="Q64" s="17">
        <v>5</v>
      </c>
    </row>
    <row r="65" ht="18.5" spans="1:17">
      <c r="A65" s="20"/>
      <c r="B65" s="16" t="s">
        <v>112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68"/>
    </row>
    <row r="66" ht="19.25" spans="1:17">
      <c r="A66" s="27" t="s">
        <v>113</v>
      </c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6"/>
    </row>
    <row r="67" ht="15.25" spans="1:17">
      <c r="A67" s="15"/>
      <c r="B67" s="30" t="s">
        <v>114</v>
      </c>
      <c r="C67" s="17"/>
      <c r="D67" s="17"/>
      <c r="E67" s="17"/>
      <c r="F67" s="17"/>
      <c r="G67" s="17"/>
      <c r="H67" s="17">
        <v>1</v>
      </c>
      <c r="I67" s="17"/>
      <c r="J67" s="17"/>
      <c r="K67" s="17">
        <v>2</v>
      </c>
      <c r="L67" s="17"/>
      <c r="M67" s="17"/>
      <c r="N67" s="17"/>
      <c r="O67" s="17"/>
      <c r="P67" s="17"/>
      <c r="Q67" s="17">
        <v>3</v>
      </c>
    </row>
    <row r="68" ht="18.5" spans="1:17">
      <c r="A68" s="18" t="s">
        <v>115</v>
      </c>
      <c r="B68" s="19" t="s">
        <v>116</v>
      </c>
      <c r="C68" s="17"/>
      <c r="D68" s="17"/>
      <c r="E68" s="17">
        <v>1</v>
      </c>
      <c r="F68" s="17">
        <v>1</v>
      </c>
      <c r="G68" s="17"/>
      <c r="H68" s="17">
        <v>2</v>
      </c>
      <c r="I68" s="17"/>
      <c r="J68" s="17">
        <v>11</v>
      </c>
      <c r="K68" s="17">
        <v>1</v>
      </c>
      <c r="L68" s="17"/>
      <c r="M68" s="17"/>
      <c r="N68" s="17"/>
      <c r="O68" s="17">
        <v>2</v>
      </c>
      <c r="P68" s="17"/>
      <c r="Q68" s="17">
        <v>18</v>
      </c>
    </row>
    <row r="69" ht="18.5" spans="1:17">
      <c r="A69" s="20"/>
      <c r="B69" s="16" t="s">
        <v>117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68"/>
    </row>
    <row r="70" ht="18.5" spans="1:17">
      <c r="A70" s="20"/>
      <c r="B70" s="16" t="s">
        <v>118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68"/>
    </row>
    <row r="71" ht="18.5" spans="1:17">
      <c r="A71" s="20"/>
      <c r="B71" s="16" t="s">
        <v>119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68"/>
    </row>
    <row r="72" ht="18.5" spans="1:17">
      <c r="A72" s="20"/>
      <c r="B72" s="16" t="s">
        <v>120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68"/>
    </row>
    <row r="73" ht="18.5" spans="1:17">
      <c r="A73" s="20"/>
      <c r="B73" s="16" t="s">
        <v>121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68"/>
    </row>
    <row r="74" ht="19.25" spans="1:17">
      <c r="A74" s="27" t="s">
        <v>122</v>
      </c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6"/>
    </row>
    <row r="75" spans="1:17">
      <c r="A75" s="15"/>
      <c r="B75" s="30" t="s">
        <v>123</v>
      </c>
      <c r="C75" s="17"/>
      <c r="D75" s="17"/>
      <c r="E75" s="17"/>
      <c r="F75" s="17"/>
      <c r="G75" s="17"/>
      <c r="H75" s="17">
        <v>1</v>
      </c>
      <c r="I75" s="17"/>
      <c r="J75" s="17"/>
      <c r="K75" s="17"/>
      <c r="L75" s="17"/>
      <c r="M75" s="17"/>
      <c r="N75" s="17"/>
      <c r="O75" s="17"/>
      <c r="P75" s="17"/>
      <c r="Q75" s="17">
        <v>1</v>
      </c>
    </row>
    <row r="76" spans="1:17">
      <c r="A76" s="15"/>
      <c r="B76" s="16" t="s">
        <v>124</v>
      </c>
      <c r="C76" s="17"/>
      <c r="D76" s="17"/>
      <c r="E76" s="17"/>
      <c r="F76" s="17"/>
      <c r="G76" s="17"/>
      <c r="H76" s="17">
        <v>1</v>
      </c>
      <c r="I76" s="17"/>
      <c r="J76" s="17"/>
      <c r="K76" s="17"/>
      <c r="L76" s="17"/>
      <c r="M76" s="17"/>
      <c r="N76" s="17"/>
      <c r="O76" s="17">
        <v>1</v>
      </c>
      <c r="P76" s="17"/>
      <c r="Q76" s="17">
        <v>2</v>
      </c>
    </row>
    <row r="77" spans="1:17">
      <c r="A77" s="15"/>
      <c r="B77" s="16" t="s">
        <v>125</v>
      </c>
      <c r="C77" s="17"/>
      <c r="D77" s="17"/>
      <c r="E77" s="17"/>
      <c r="F77" s="17"/>
      <c r="G77" s="17"/>
      <c r="H77" s="17">
        <v>1</v>
      </c>
      <c r="I77" s="17"/>
      <c r="J77" s="17"/>
      <c r="K77" s="17"/>
      <c r="L77" s="17"/>
      <c r="M77" s="17"/>
      <c r="N77" s="17"/>
      <c r="O77" s="17"/>
      <c r="P77" s="17"/>
      <c r="Q77" s="17">
        <v>1</v>
      </c>
    </row>
    <row r="78" spans="1:17">
      <c r="A78" s="15"/>
      <c r="B78" s="16" t="s">
        <v>126</v>
      </c>
      <c r="C78" s="17"/>
      <c r="D78" s="17"/>
      <c r="E78" s="17"/>
      <c r="F78" s="17"/>
      <c r="G78" s="17"/>
      <c r="H78" s="17"/>
      <c r="I78" s="17"/>
      <c r="J78" s="17"/>
      <c r="K78" s="17">
        <v>1</v>
      </c>
      <c r="L78" s="17"/>
      <c r="M78" s="17"/>
      <c r="N78" s="17"/>
      <c r="O78" s="17"/>
      <c r="P78" s="17"/>
      <c r="Q78" s="17">
        <v>1</v>
      </c>
    </row>
    <row r="79" spans="1:17">
      <c r="A79" s="15"/>
      <c r="B79" s="16" t="s">
        <v>127</v>
      </c>
      <c r="C79" s="17"/>
      <c r="D79" s="17"/>
      <c r="E79" s="17"/>
      <c r="F79" s="17"/>
      <c r="G79" s="17"/>
      <c r="H79" s="17"/>
      <c r="I79" s="17"/>
      <c r="J79" s="17"/>
      <c r="K79" s="17">
        <v>2</v>
      </c>
      <c r="L79" s="17"/>
      <c r="M79" s="17"/>
      <c r="N79" s="17"/>
      <c r="O79" s="17"/>
      <c r="P79" s="17"/>
      <c r="Q79" s="17">
        <v>2</v>
      </c>
    </row>
    <row r="80" ht="15.25" spans="1:17">
      <c r="A80" s="15"/>
      <c r="B80" s="16" t="s">
        <v>128</v>
      </c>
      <c r="C80" s="17"/>
      <c r="D80" s="17"/>
      <c r="E80" s="17"/>
      <c r="F80" s="17"/>
      <c r="G80" s="17"/>
      <c r="H80" s="17">
        <v>2</v>
      </c>
      <c r="I80" s="17"/>
      <c r="J80" s="17">
        <v>15</v>
      </c>
      <c r="K80" s="17"/>
      <c r="L80" s="17"/>
      <c r="M80" s="17"/>
      <c r="N80" s="17"/>
      <c r="O80" s="17"/>
      <c r="P80" s="17"/>
      <c r="Q80" s="17">
        <v>17</v>
      </c>
    </row>
    <row r="81" ht="18.5" spans="1:17">
      <c r="A81" s="18" t="s">
        <v>129</v>
      </c>
      <c r="B81" s="19" t="s">
        <v>130</v>
      </c>
      <c r="C81" s="17"/>
      <c r="D81" s="17"/>
      <c r="E81" s="17"/>
      <c r="F81" s="17"/>
      <c r="G81" s="17"/>
      <c r="H81" s="17">
        <v>4</v>
      </c>
      <c r="I81" s="17"/>
      <c r="J81" s="17"/>
      <c r="K81" s="17">
        <v>1</v>
      </c>
      <c r="L81" s="17"/>
      <c r="M81" s="17"/>
      <c r="N81" s="17">
        <v>1</v>
      </c>
      <c r="O81" s="17">
        <v>2</v>
      </c>
      <c r="P81" s="17"/>
      <c r="Q81" s="17">
        <v>8</v>
      </c>
    </row>
    <row r="82" ht="18.5" spans="1:17">
      <c r="A82" s="20"/>
      <c r="B82" s="16" t="s">
        <v>131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68"/>
    </row>
    <row r="83" ht="19.25" spans="1:17">
      <c r="A83" s="27" t="s">
        <v>132</v>
      </c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6"/>
    </row>
    <row r="84" spans="1:17">
      <c r="A84" s="15"/>
      <c r="B84" s="16" t="s">
        <v>133</v>
      </c>
      <c r="C84" s="17"/>
      <c r="D84" s="17"/>
      <c r="E84" s="17"/>
      <c r="F84" s="17"/>
      <c r="G84" s="17"/>
      <c r="H84" s="17">
        <v>1</v>
      </c>
      <c r="I84" s="17"/>
      <c r="J84" s="17"/>
      <c r="K84" s="17"/>
      <c r="L84" s="17"/>
      <c r="M84" s="17"/>
      <c r="N84" s="17"/>
      <c r="O84" s="17">
        <v>1</v>
      </c>
      <c r="P84" s="17"/>
      <c r="Q84" s="17">
        <v>2</v>
      </c>
    </row>
    <row r="85" spans="1:17">
      <c r="A85" s="15"/>
      <c r="B85" s="16" t="s">
        <v>134</v>
      </c>
      <c r="C85" s="17"/>
      <c r="D85" s="17"/>
      <c r="E85" s="17">
        <v>1</v>
      </c>
      <c r="F85" s="17"/>
      <c r="G85" s="17"/>
      <c r="H85" s="17">
        <v>7</v>
      </c>
      <c r="I85" s="17"/>
      <c r="J85" s="17"/>
      <c r="K85" s="17">
        <v>4</v>
      </c>
      <c r="L85" s="17"/>
      <c r="M85" s="17"/>
      <c r="N85" s="17"/>
      <c r="O85" s="17"/>
      <c r="P85" s="17"/>
      <c r="Q85" s="17">
        <v>12</v>
      </c>
    </row>
    <row r="86" ht="15.25" spans="1:17">
      <c r="A86" s="15"/>
      <c r="B86" s="16" t="s">
        <v>135</v>
      </c>
      <c r="C86" s="17"/>
      <c r="D86" s="17"/>
      <c r="E86" s="17"/>
      <c r="F86" s="17"/>
      <c r="G86" s="17"/>
      <c r="H86" s="17">
        <v>1</v>
      </c>
      <c r="I86" s="17"/>
      <c r="J86" s="17"/>
      <c r="K86" s="17"/>
      <c r="L86" s="17"/>
      <c r="M86" s="17"/>
      <c r="N86" s="17"/>
      <c r="O86" s="17">
        <v>2</v>
      </c>
      <c r="P86" s="17"/>
      <c r="Q86" s="17">
        <v>3</v>
      </c>
    </row>
    <row r="87" ht="18.5" spans="1:17">
      <c r="A87" s="18" t="s">
        <v>136</v>
      </c>
      <c r="B87" s="19" t="s">
        <v>137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68"/>
    </row>
    <row r="88" ht="18.5" spans="1:17">
      <c r="A88" s="20"/>
      <c r="B88" s="16" t="s">
        <v>138</v>
      </c>
      <c r="C88" s="17"/>
      <c r="D88" s="17"/>
      <c r="E88" s="17"/>
      <c r="F88" s="17"/>
      <c r="G88" s="17"/>
      <c r="H88" s="17">
        <v>1</v>
      </c>
      <c r="I88" s="17"/>
      <c r="J88" s="17"/>
      <c r="K88" s="17"/>
      <c r="L88" s="17"/>
      <c r="M88" s="17"/>
      <c r="N88" s="17"/>
      <c r="O88" s="17"/>
      <c r="P88" s="17"/>
      <c r="Q88" s="17">
        <v>1</v>
      </c>
    </row>
    <row r="89" ht="18.5" spans="1:17">
      <c r="A89" s="20"/>
      <c r="B89" s="16" t="s">
        <v>139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68"/>
    </row>
    <row r="90" ht="19.25" spans="1:17">
      <c r="A90" s="22" t="s">
        <v>140</v>
      </c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6"/>
    </row>
    <row r="91" spans="1:17">
      <c r="A91" s="15"/>
      <c r="B91" s="30" t="s">
        <v>141</v>
      </c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8"/>
    </row>
    <row r="92" spans="1:17">
      <c r="A92" s="15"/>
      <c r="B92" s="16" t="s">
        <v>142</v>
      </c>
      <c r="C92" s="17"/>
      <c r="D92" s="17"/>
      <c r="E92" s="17"/>
      <c r="F92" s="17"/>
      <c r="G92" s="17"/>
      <c r="H92" s="17">
        <v>1</v>
      </c>
      <c r="I92" s="17"/>
      <c r="J92" s="17"/>
      <c r="K92" s="17"/>
      <c r="L92" s="17"/>
      <c r="M92" s="17"/>
      <c r="N92" s="17"/>
      <c r="O92" s="17"/>
      <c r="P92" s="17"/>
      <c r="Q92" s="17">
        <v>1</v>
      </c>
    </row>
    <row r="93" spans="1:17">
      <c r="A93" s="15"/>
      <c r="B93" s="16" t="s">
        <v>143</v>
      </c>
      <c r="C93" s="17"/>
      <c r="D93" s="17"/>
      <c r="E93" s="17"/>
      <c r="F93" s="17"/>
      <c r="G93" s="17"/>
      <c r="H93" s="17">
        <v>1</v>
      </c>
      <c r="I93" s="17"/>
      <c r="J93" s="17"/>
      <c r="K93" s="17"/>
      <c r="L93" s="17"/>
      <c r="M93" s="17"/>
      <c r="N93" s="17"/>
      <c r="O93" s="17"/>
      <c r="P93" s="17"/>
      <c r="Q93" s="17">
        <v>1</v>
      </c>
    </row>
    <row r="94" spans="1:17">
      <c r="A94" s="15"/>
      <c r="B94" s="16" t="s">
        <v>144</v>
      </c>
      <c r="C94" s="17"/>
      <c r="D94" s="17"/>
      <c r="E94" s="17"/>
      <c r="F94" s="17"/>
      <c r="G94" s="17"/>
      <c r="H94" s="17">
        <v>1</v>
      </c>
      <c r="I94" s="17"/>
      <c r="J94" s="17"/>
      <c r="K94" s="17"/>
      <c r="L94" s="17"/>
      <c r="M94" s="17"/>
      <c r="N94" s="17"/>
      <c r="O94" s="17">
        <v>2</v>
      </c>
      <c r="P94" s="17"/>
      <c r="Q94" s="17">
        <v>3</v>
      </c>
    </row>
    <row r="95" spans="1:17">
      <c r="A95" s="15"/>
      <c r="B95" s="16" t="s">
        <v>145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68"/>
    </row>
    <row r="96" spans="1:17">
      <c r="A96" s="15"/>
      <c r="B96" s="16" t="s">
        <v>146</v>
      </c>
      <c r="C96" s="17"/>
      <c r="D96" s="17"/>
      <c r="E96" s="17">
        <v>1</v>
      </c>
      <c r="F96" s="17"/>
      <c r="G96" s="17"/>
      <c r="H96" s="17">
        <v>1</v>
      </c>
      <c r="I96" s="17"/>
      <c r="J96" s="17"/>
      <c r="K96" s="17"/>
      <c r="L96" s="17"/>
      <c r="M96" s="17"/>
      <c r="N96" s="17"/>
      <c r="O96" s="17"/>
      <c r="P96" s="17"/>
      <c r="Q96" s="17">
        <v>2</v>
      </c>
    </row>
    <row r="97" ht="15.25" spans="1:17">
      <c r="A97" s="15"/>
      <c r="B97" s="16" t="s">
        <v>147</v>
      </c>
      <c r="C97" s="17"/>
      <c r="D97" s="17"/>
      <c r="E97" s="17"/>
      <c r="F97" s="17"/>
      <c r="G97" s="17"/>
      <c r="H97" s="17">
        <v>1</v>
      </c>
      <c r="I97" s="17"/>
      <c r="J97" s="17"/>
      <c r="K97" s="17"/>
      <c r="L97" s="17"/>
      <c r="M97" s="17"/>
      <c r="N97" s="17"/>
      <c r="O97" s="17"/>
      <c r="P97" s="17"/>
      <c r="Q97" s="17">
        <v>1</v>
      </c>
    </row>
    <row r="98" ht="18.5" spans="1:17">
      <c r="A98" s="36" t="s">
        <v>148</v>
      </c>
      <c r="B98" s="19" t="s">
        <v>149</v>
      </c>
      <c r="C98" s="17"/>
      <c r="D98" s="17"/>
      <c r="E98" s="17">
        <v>1</v>
      </c>
      <c r="F98" s="17"/>
      <c r="G98" s="17"/>
      <c r="H98" s="17">
        <v>1</v>
      </c>
      <c r="I98" s="17"/>
      <c r="J98" s="17"/>
      <c r="K98" s="17"/>
      <c r="L98" s="17"/>
      <c r="M98" s="17"/>
      <c r="N98" s="17"/>
      <c r="O98" s="17">
        <v>3</v>
      </c>
      <c r="P98" s="17"/>
      <c r="Q98" s="17">
        <v>5</v>
      </c>
    </row>
    <row r="99" ht="18.5" spans="1:17">
      <c r="A99" s="37"/>
      <c r="B99" s="16" t="s">
        <v>150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>
        <v>1</v>
      </c>
      <c r="P99" s="17"/>
      <c r="Q99" s="17">
        <v>1</v>
      </c>
    </row>
    <row r="100" ht="18.5" spans="1:17">
      <c r="A100" s="37"/>
      <c r="B100" s="16" t="s">
        <v>151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68"/>
    </row>
    <row r="101" ht="19.25" spans="1:17">
      <c r="A101" s="27" t="s">
        <v>152</v>
      </c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6"/>
    </row>
    <row r="102" ht="18.5" spans="1:17">
      <c r="A102" s="18" t="s">
        <v>153</v>
      </c>
      <c r="B102" s="30" t="s">
        <v>153</v>
      </c>
      <c r="C102" s="17"/>
      <c r="D102" s="17"/>
      <c r="E102" s="17"/>
      <c r="F102" s="17"/>
      <c r="G102" s="17"/>
      <c r="H102" s="17"/>
      <c r="I102" s="17"/>
      <c r="J102" s="17"/>
      <c r="K102" s="17">
        <v>1</v>
      </c>
      <c r="L102" s="17"/>
      <c r="M102" s="17"/>
      <c r="N102" s="17"/>
      <c r="O102" s="17"/>
      <c r="P102" s="17"/>
      <c r="Q102" s="17">
        <v>1</v>
      </c>
    </row>
    <row r="103" ht="18.5" spans="1:17">
      <c r="A103" s="20"/>
      <c r="B103" s="16" t="s">
        <v>154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>
        <v>1</v>
      </c>
      <c r="Q103" s="17">
        <v>1</v>
      </c>
    </row>
    <row r="104" ht="19.25" spans="1:17">
      <c r="A104" s="27" t="s">
        <v>155</v>
      </c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6"/>
    </row>
    <row r="105" ht="18.5" spans="1:17">
      <c r="A105" s="18" t="s">
        <v>156</v>
      </c>
      <c r="B105" s="19" t="s">
        <v>157</v>
      </c>
      <c r="C105" s="17"/>
      <c r="D105" s="17"/>
      <c r="E105" s="17"/>
      <c r="F105" s="17"/>
      <c r="G105" s="17"/>
      <c r="H105" s="17">
        <v>1</v>
      </c>
      <c r="I105" s="17"/>
      <c r="J105" s="17"/>
      <c r="K105" s="17"/>
      <c r="L105" s="17"/>
      <c r="M105" s="17"/>
      <c r="N105" s="17"/>
      <c r="O105" s="17"/>
      <c r="P105" s="17"/>
      <c r="Q105" s="17">
        <v>1</v>
      </c>
    </row>
    <row r="106" ht="18.5" spans="1:17">
      <c r="A106" s="20"/>
      <c r="B106" s="16" t="s">
        <v>158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68"/>
    </row>
    <row r="107" ht="19.25" spans="1:17">
      <c r="A107" s="27" t="s">
        <v>159</v>
      </c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6"/>
    </row>
    <row r="108" ht="18.5" spans="1:17">
      <c r="A108" s="18" t="s">
        <v>160</v>
      </c>
      <c r="B108" s="30" t="s">
        <v>161</v>
      </c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8"/>
    </row>
    <row r="109" ht="18.5" spans="1:17">
      <c r="A109" s="20"/>
      <c r="B109" s="30" t="s">
        <v>162</v>
      </c>
      <c r="C109" s="69"/>
      <c r="D109" s="69"/>
      <c r="E109" s="69"/>
      <c r="F109" s="69"/>
      <c r="G109" s="69"/>
      <c r="H109" s="69">
        <v>1</v>
      </c>
      <c r="I109" s="69"/>
      <c r="J109" s="69"/>
      <c r="K109" s="69"/>
      <c r="L109" s="69"/>
      <c r="M109" s="69"/>
      <c r="N109" s="69"/>
      <c r="O109" s="69"/>
      <c r="P109" s="69"/>
      <c r="Q109" s="68">
        <v>1</v>
      </c>
    </row>
    <row r="110" ht="18.5" spans="1:17">
      <c r="A110" s="20"/>
      <c r="B110" s="16" t="s">
        <v>163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68"/>
    </row>
    <row r="111" ht="19.25" spans="1:17">
      <c r="A111" s="27" t="s">
        <v>164</v>
      </c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6"/>
    </row>
    <row r="112" ht="18.5" spans="1:17">
      <c r="A112" s="20"/>
      <c r="B112" s="38" t="s">
        <v>165</v>
      </c>
      <c r="C112" s="17"/>
      <c r="D112" s="17"/>
      <c r="E112" s="17"/>
      <c r="F112" s="17"/>
      <c r="G112" s="17"/>
      <c r="H112" s="17">
        <v>1</v>
      </c>
      <c r="I112" s="17"/>
      <c r="J112" s="17"/>
      <c r="K112" s="17">
        <v>1</v>
      </c>
      <c r="L112" s="17"/>
      <c r="M112" s="17"/>
      <c r="N112" s="17"/>
      <c r="O112" s="17"/>
      <c r="P112" s="17"/>
      <c r="Q112" s="17">
        <v>2</v>
      </c>
    </row>
    <row r="113" spans="1:17">
      <c r="A113" s="15"/>
      <c r="B113" s="16" t="s">
        <v>166</v>
      </c>
      <c r="C113" s="17"/>
      <c r="D113" s="17"/>
      <c r="E113" s="17"/>
      <c r="F113" s="17"/>
      <c r="G113" s="17">
        <v>1</v>
      </c>
      <c r="H113" s="17"/>
      <c r="I113" s="17">
        <v>1</v>
      </c>
      <c r="J113" s="17"/>
      <c r="K113" s="17">
        <v>1</v>
      </c>
      <c r="L113" s="17"/>
      <c r="M113" s="17"/>
      <c r="N113" s="17"/>
      <c r="O113" s="17"/>
      <c r="P113" s="17"/>
      <c r="Q113" s="17">
        <v>3</v>
      </c>
    </row>
    <row r="114" ht="15.25" spans="1:17">
      <c r="A114" s="15"/>
      <c r="B114" s="41" t="s">
        <v>167</v>
      </c>
      <c r="C114" s="17"/>
      <c r="D114" s="17"/>
      <c r="E114" s="17"/>
      <c r="F114" s="17"/>
      <c r="G114" s="17"/>
      <c r="H114" s="17">
        <v>3</v>
      </c>
      <c r="I114" s="17"/>
      <c r="J114" s="17"/>
      <c r="K114" s="17"/>
      <c r="L114" s="17"/>
      <c r="M114" s="17"/>
      <c r="N114" s="17"/>
      <c r="O114" s="17"/>
      <c r="P114" s="17"/>
      <c r="Q114" s="17">
        <v>3</v>
      </c>
    </row>
    <row r="115" spans="1:17">
      <c r="A115" s="42" t="s">
        <v>168</v>
      </c>
      <c r="B115" s="43" t="s">
        <v>169</v>
      </c>
      <c r="C115" s="17"/>
      <c r="D115" s="17"/>
      <c r="E115" s="17"/>
      <c r="F115" s="17"/>
      <c r="G115" s="17"/>
      <c r="H115" s="17"/>
      <c r="I115" s="17"/>
      <c r="J115" s="17">
        <v>11</v>
      </c>
      <c r="K115" s="17">
        <v>4</v>
      </c>
      <c r="L115" s="17">
        <v>1</v>
      </c>
      <c r="M115" s="17"/>
      <c r="N115" s="17"/>
      <c r="O115" s="17"/>
      <c r="P115" s="17"/>
      <c r="Q115" s="17">
        <v>16</v>
      </c>
    </row>
    <row r="116" spans="1:17">
      <c r="A116" s="44"/>
      <c r="B116" s="45" t="s">
        <v>170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68"/>
    </row>
    <row r="117" spans="1:17">
      <c r="A117" s="44"/>
      <c r="B117" s="45" t="s">
        <v>171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68"/>
    </row>
    <row r="118" spans="1:17">
      <c r="A118" s="44"/>
      <c r="B118" s="45" t="s">
        <v>172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68"/>
    </row>
    <row r="119" spans="1:17">
      <c r="A119" s="46"/>
      <c r="B119" s="45" t="s">
        <v>173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68"/>
    </row>
    <row r="120" ht="19.25" spans="1:17">
      <c r="A120" s="27" t="s">
        <v>174</v>
      </c>
      <c r="B120" s="2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6"/>
    </row>
    <row r="121" spans="1:17">
      <c r="A121" s="16" t="s">
        <v>175</v>
      </c>
      <c r="B121" s="16" t="s">
        <v>176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68"/>
    </row>
    <row r="122" spans="1:17">
      <c r="A122" s="15"/>
      <c r="B122" s="41" t="s">
        <v>177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70"/>
    </row>
    <row r="123" ht="18.5" spans="1:17">
      <c r="A123" s="49"/>
      <c r="B123" s="50" t="s">
        <v>178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ht="19.25" spans="1:17">
      <c r="A124" s="52"/>
      <c r="B124" s="53" t="s">
        <v>11</v>
      </c>
      <c r="C124" s="54">
        <f t="shared" ref="C124:Q124" si="0">SUM(C5:C123)</f>
        <v>6</v>
      </c>
      <c r="D124" s="54">
        <f t="shared" si="0"/>
        <v>9</v>
      </c>
      <c r="E124" s="54">
        <f t="shared" si="0"/>
        <v>5</v>
      </c>
      <c r="F124" s="54">
        <f t="shared" si="0"/>
        <v>1</v>
      </c>
      <c r="G124" s="54">
        <f t="shared" si="0"/>
        <v>1</v>
      </c>
      <c r="H124" s="54">
        <f t="shared" si="0"/>
        <v>48</v>
      </c>
      <c r="I124" s="54">
        <f t="shared" si="0"/>
        <v>1</v>
      </c>
      <c r="J124" s="54">
        <f t="shared" si="0"/>
        <v>38</v>
      </c>
      <c r="K124" s="54">
        <f t="shared" si="0"/>
        <v>29</v>
      </c>
      <c r="L124" s="54">
        <f t="shared" si="0"/>
        <v>1</v>
      </c>
      <c r="M124" s="54">
        <f t="shared" si="0"/>
        <v>9</v>
      </c>
      <c r="N124" s="54">
        <f t="shared" si="0"/>
        <v>1</v>
      </c>
      <c r="O124" s="54">
        <f t="shared" si="0"/>
        <v>20</v>
      </c>
      <c r="P124" s="54">
        <f t="shared" si="0"/>
        <v>1</v>
      </c>
      <c r="Q124" s="56">
        <f t="shared" si="0"/>
        <v>170</v>
      </c>
    </row>
    <row r="125" spans="1:17">
      <c r="C125" s="57">
        <v>6</v>
      </c>
      <c r="D125" s="57">
        <v>9</v>
      </c>
      <c r="E125" s="57">
        <v>5</v>
      </c>
      <c r="F125" s="57">
        <v>1</v>
      </c>
      <c r="G125" s="57">
        <v>1</v>
      </c>
      <c r="H125" s="57">
        <v>48</v>
      </c>
      <c r="I125" s="57">
        <v>1</v>
      </c>
      <c r="J125" s="57">
        <v>38</v>
      </c>
      <c r="K125" s="57">
        <v>32</v>
      </c>
      <c r="L125" s="57">
        <v>1</v>
      </c>
      <c r="M125" s="57">
        <v>9</v>
      </c>
      <c r="N125" s="57">
        <v>1</v>
      </c>
      <c r="O125" s="57">
        <v>20</v>
      </c>
      <c r="P125" s="57">
        <v>1</v>
      </c>
      <c r="Q125" s="57">
        <f>SUM(C125:P125)</f>
        <v>173</v>
      </c>
    </row>
  </sheetData>
  <mergeCells count="4">
    <mergeCell ref="A1:Q1"/>
    <mergeCell ref="A29:A31"/>
    <mergeCell ref="A45:A48"/>
    <mergeCell ref="A115:A11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"/>
  <sheetViews>
    <sheetView tabSelected="1" zoomScale="55" zoomScaleNormal="55" workbookViewId="0">
      <selection activeCell="O11" sqref="O11"/>
    </sheetView>
  </sheetViews>
  <sheetFormatPr defaultColWidth="9" defaultRowHeight="14.5"/>
  <cols>
    <col min="1" max="1" width="40.2818181818182" customWidth="1"/>
    <col min="2" max="2" width="26" customWidth="1"/>
    <col min="3" max="3" width="11.8545454545455" customWidth="1"/>
    <col min="4" max="4" width="16.2818181818182" customWidth="1"/>
    <col min="5" max="5" width="16.4272727272727" customWidth="1"/>
    <col min="6" max="6" width="13.8545454545455" customWidth="1"/>
    <col min="7" max="7" width="10.7090909090909" customWidth="1"/>
    <col min="8" max="8" width="15" customWidth="1"/>
    <col min="9" max="11" width="14" customWidth="1"/>
    <col min="12" max="12" width="11.8545454545455" customWidth="1"/>
  </cols>
  <sheetData>
    <row r="1" ht="36.75" spans="1:12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15.5" spans="1:1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5" spans="1:12">
      <c r="A3" s="7"/>
      <c r="B3" s="8" t="s">
        <v>1</v>
      </c>
      <c r="C3" s="9" t="s">
        <v>221</v>
      </c>
      <c r="D3" s="9" t="s">
        <v>222</v>
      </c>
      <c r="E3" s="9" t="s">
        <v>223</v>
      </c>
      <c r="F3" s="9" t="s">
        <v>224</v>
      </c>
      <c r="G3" s="9" t="s">
        <v>225</v>
      </c>
      <c r="H3" s="9" t="s">
        <v>226</v>
      </c>
      <c r="I3" s="9" t="s">
        <v>227</v>
      </c>
      <c r="J3" s="9" t="s">
        <v>228</v>
      </c>
      <c r="K3" s="9" t="s">
        <v>229</v>
      </c>
      <c r="L3" s="10" t="s">
        <v>27</v>
      </c>
    </row>
    <row r="4" ht="15.5" spans="1:12">
      <c r="A4" s="7"/>
      <c r="B4" s="11"/>
      <c r="C4" s="12" t="s">
        <v>230</v>
      </c>
      <c r="D4" s="13" t="s">
        <v>231</v>
      </c>
      <c r="E4" s="13" t="s">
        <v>232</v>
      </c>
      <c r="F4" s="13" t="s">
        <v>233</v>
      </c>
      <c r="G4" s="13" t="s">
        <v>234</v>
      </c>
      <c r="H4" s="13" t="s">
        <v>235</v>
      </c>
      <c r="I4" s="13" t="s">
        <v>236</v>
      </c>
      <c r="J4" s="13" t="s">
        <v>237</v>
      </c>
      <c r="K4" s="13" t="s">
        <v>238</v>
      </c>
      <c r="L4" s="14"/>
    </row>
    <row r="5" spans="1:12">
      <c r="A5" s="15"/>
      <c r="B5" s="16" t="s">
        <v>43</v>
      </c>
      <c r="C5" s="17"/>
      <c r="D5" s="17">
        <v>1</v>
      </c>
      <c r="E5" s="17"/>
      <c r="F5" s="17"/>
      <c r="G5" s="17"/>
      <c r="H5" s="17">
        <v>1</v>
      </c>
      <c r="I5" s="17"/>
      <c r="J5" s="17">
        <v>10</v>
      </c>
      <c r="K5" s="17"/>
      <c r="L5" s="17">
        <f>SUM(C5:K5)</f>
        <v>12</v>
      </c>
    </row>
    <row r="6" spans="1:12">
      <c r="A6" s="15"/>
      <c r="B6" s="16" t="s">
        <v>44</v>
      </c>
      <c r="C6" s="17"/>
      <c r="D6" s="17">
        <v>5</v>
      </c>
      <c r="E6" s="17"/>
      <c r="F6" s="17"/>
      <c r="G6" s="17"/>
      <c r="H6" s="17"/>
      <c r="I6" s="17"/>
      <c r="J6" s="17"/>
      <c r="K6" s="17"/>
      <c r="L6" s="17">
        <f t="shared" ref="L6:L16" si="0">SUM(C6:K6)</f>
        <v>5</v>
      </c>
    </row>
    <row r="7" spans="1:12">
      <c r="A7" s="15"/>
      <c r="B7" s="16" t="s">
        <v>45</v>
      </c>
      <c r="C7" s="17"/>
      <c r="D7" s="17"/>
      <c r="E7" s="17"/>
      <c r="F7" s="17"/>
      <c r="G7" s="17"/>
      <c r="H7" s="17"/>
      <c r="I7" s="17"/>
      <c r="J7" s="17"/>
      <c r="K7" s="17"/>
      <c r="L7" s="17">
        <f t="shared" si="0"/>
        <v>0</v>
      </c>
    </row>
    <row r="8" spans="1:12">
      <c r="A8" s="15"/>
      <c r="B8" s="16" t="s">
        <v>46</v>
      </c>
      <c r="C8" s="17"/>
      <c r="D8" s="17">
        <v>14</v>
      </c>
      <c r="E8" s="17"/>
      <c r="F8" s="17"/>
      <c r="G8" s="17"/>
      <c r="H8" s="17"/>
      <c r="I8" s="17"/>
      <c r="J8" s="17"/>
      <c r="K8" s="17"/>
      <c r="L8" s="17">
        <f t="shared" si="0"/>
        <v>14</v>
      </c>
    </row>
    <row r="9" ht="15.25" spans="1:12">
      <c r="A9" s="15"/>
      <c r="B9" s="16" t="s">
        <v>47</v>
      </c>
      <c r="C9" s="17">
        <v>3</v>
      </c>
      <c r="D9" s="17">
        <v>22</v>
      </c>
      <c r="E9" s="17"/>
      <c r="F9" s="17"/>
      <c r="G9" s="17"/>
      <c r="H9" s="17">
        <v>2</v>
      </c>
      <c r="I9" s="17"/>
      <c r="J9" s="17">
        <v>1</v>
      </c>
      <c r="K9" s="17">
        <v>1</v>
      </c>
      <c r="L9" s="17">
        <f t="shared" si="0"/>
        <v>29</v>
      </c>
    </row>
    <row r="10" ht="18.5" spans="1:12">
      <c r="A10" s="18" t="s">
        <v>48</v>
      </c>
      <c r="B10" s="19" t="s">
        <v>49</v>
      </c>
      <c r="C10" s="17"/>
      <c r="D10" s="17">
        <v>2</v>
      </c>
      <c r="E10" s="17"/>
      <c r="F10" s="17"/>
      <c r="G10" s="17"/>
      <c r="H10" s="17"/>
      <c r="I10" s="17"/>
      <c r="J10" s="17"/>
      <c r="K10" s="17"/>
      <c r="L10" s="17">
        <f t="shared" si="0"/>
        <v>2</v>
      </c>
    </row>
    <row r="11" ht="18.5" spans="1:12">
      <c r="A11" s="20"/>
      <c r="B11" s="16" t="s">
        <v>51</v>
      </c>
      <c r="C11" s="17"/>
      <c r="D11" s="17">
        <v>1</v>
      </c>
      <c r="E11" s="17"/>
      <c r="F11" s="17"/>
      <c r="G11" s="17"/>
      <c r="H11" s="17"/>
      <c r="I11" s="17"/>
      <c r="J11" s="17"/>
      <c r="K11" s="17"/>
      <c r="L11" s="17">
        <f t="shared" si="0"/>
        <v>1</v>
      </c>
    </row>
    <row r="12" ht="18.5" spans="1:12">
      <c r="A12" s="20"/>
      <c r="B12" s="16" t="s">
        <v>52</v>
      </c>
      <c r="C12" s="17"/>
      <c r="D12" s="17">
        <v>1</v>
      </c>
      <c r="E12" s="17"/>
      <c r="F12" s="17"/>
      <c r="G12" s="17"/>
      <c r="H12" s="17"/>
      <c r="I12" s="17"/>
      <c r="J12" s="17"/>
      <c r="K12" s="17"/>
      <c r="L12" s="17">
        <f t="shared" si="0"/>
        <v>1</v>
      </c>
    </row>
    <row r="13" ht="18.5" spans="1:12">
      <c r="A13" s="20"/>
      <c r="B13" s="16" t="s">
        <v>53</v>
      </c>
      <c r="C13" s="17"/>
      <c r="D13" s="17">
        <v>2</v>
      </c>
      <c r="E13" s="17"/>
      <c r="F13" s="17"/>
      <c r="G13" s="17"/>
      <c r="H13" s="17"/>
      <c r="I13" s="17"/>
      <c r="J13" s="17"/>
      <c r="K13" s="17"/>
      <c r="L13" s="17">
        <f t="shared" si="0"/>
        <v>2</v>
      </c>
    </row>
    <row r="14" ht="18.5" spans="1:12">
      <c r="A14" s="20"/>
      <c r="B14" s="16" t="s">
        <v>54</v>
      </c>
      <c r="C14" s="17"/>
      <c r="D14" s="17">
        <v>2</v>
      </c>
      <c r="E14" s="17"/>
      <c r="F14" s="17"/>
      <c r="G14" s="17"/>
      <c r="H14" s="17"/>
      <c r="I14" s="17"/>
      <c r="J14" s="17">
        <v>1</v>
      </c>
      <c r="K14" s="17"/>
      <c r="L14" s="17">
        <f t="shared" si="0"/>
        <v>3</v>
      </c>
    </row>
    <row r="15" ht="18.5" spans="1:12">
      <c r="A15" s="20"/>
      <c r="B15" s="16" t="s">
        <v>55</v>
      </c>
      <c r="C15" s="17"/>
      <c r="D15" s="17"/>
      <c r="E15" s="17"/>
      <c r="F15" s="17"/>
      <c r="G15" s="17"/>
      <c r="H15" s="17"/>
      <c r="I15" s="17"/>
      <c r="J15" s="21"/>
      <c r="K15" s="21"/>
      <c r="L15" s="17">
        <f t="shared" si="0"/>
        <v>0</v>
      </c>
    </row>
    <row r="16" ht="18.5" spans="1:12">
      <c r="A16" s="20"/>
      <c r="B16" s="16" t="s">
        <v>56</v>
      </c>
      <c r="C16" s="17"/>
      <c r="D16" s="17"/>
      <c r="E16" s="17"/>
      <c r="F16" s="17"/>
      <c r="G16" s="17"/>
      <c r="H16" s="17"/>
      <c r="I16" s="17"/>
      <c r="J16" s="17">
        <v>1</v>
      </c>
      <c r="K16" s="17"/>
      <c r="L16" s="17">
        <f t="shared" si="0"/>
        <v>1</v>
      </c>
    </row>
    <row r="17" ht="19.25" spans="1:12">
      <c r="A17" s="22" t="s">
        <v>57</v>
      </c>
      <c r="B17" s="23"/>
      <c r="C17" s="24"/>
      <c r="D17" s="24"/>
      <c r="E17" s="24"/>
      <c r="F17" s="24"/>
      <c r="G17" s="24"/>
      <c r="H17" s="24"/>
      <c r="I17" s="24"/>
      <c r="J17" s="25"/>
      <c r="K17" s="25"/>
      <c r="L17" s="26"/>
    </row>
    <row r="18" ht="18.5" spans="1:12">
      <c r="A18" s="18" t="s">
        <v>58</v>
      </c>
      <c r="B18" s="19" t="s">
        <v>59</v>
      </c>
      <c r="C18" s="17"/>
      <c r="D18" s="17">
        <v>3</v>
      </c>
      <c r="E18" s="17"/>
      <c r="F18" s="17"/>
      <c r="G18" s="17"/>
      <c r="H18" s="17"/>
      <c r="I18" s="17"/>
      <c r="J18" s="17"/>
      <c r="K18" s="17"/>
      <c r="L18" s="17">
        <f t="shared" ref="L18:L19" si="1">SUM(C18:K18)</f>
        <v>3</v>
      </c>
    </row>
    <row r="19" ht="18.5" spans="1:12">
      <c r="A19" s="20"/>
      <c r="B19" s="16" t="s">
        <v>60</v>
      </c>
      <c r="C19" s="17"/>
      <c r="D19" s="17">
        <v>2</v>
      </c>
      <c r="E19" s="17"/>
      <c r="F19" s="17"/>
      <c r="G19" s="17"/>
      <c r="H19" s="17"/>
      <c r="I19" s="17"/>
      <c r="J19" s="17"/>
      <c r="K19" s="17"/>
      <c r="L19" s="17">
        <f t="shared" si="1"/>
        <v>2</v>
      </c>
    </row>
    <row r="20" ht="19.25" spans="1:12">
      <c r="A20" s="22" t="s">
        <v>61</v>
      </c>
      <c r="B20" s="23"/>
      <c r="C20" s="24"/>
      <c r="D20" s="24"/>
      <c r="E20" s="24"/>
      <c r="F20" s="24"/>
      <c r="G20" s="24"/>
      <c r="H20" s="24"/>
      <c r="I20" s="24"/>
      <c r="J20" s="25"/>
      <c r="K20" s="25"/>
      <c r="L20" s="26"/>
    </row>
    <row r="21" ht="18.5" spans="1:12">
      <c r="A21" s="18" t="s">
        <v>62</v>
      </c>
      <c r="B21" s="19" t="s">
        <v>63</v>
      </c>
      <c r="C21" s="17"/>
      <c r="D21" s="17"/>
      <c r="E21" s="17"/>
      <c r="F21" s="17"/>
      <c r="G21" s="17"/>
      <c r="H21" s="17">
        <v>1</v>
      </c>
      <c r="I21" s="17"/>
      <c r="J21" s="17"/>
      <c r="K21" s="17"/>
      <c r="L21" s="17">
        <f t="shared" ref="L21:L24" si="2">SUM(C21:K21)</f>
        <v>1</v>
      </c>
    </row>
    <row r="22" ht="18.5" spans="1:12">
      <c r="A22" s="20"/>
      <c r="B22" s="16" t="s">
        <v>64</v>
      </c>
      <c r="C22" s="17"/>
      <c r="D22" s="17">
        <v>3</v>
      </c>
      <c r="E22" s="17"/>
      <c r="F22" s="17"/>
      <c r="G22" s="17"/>
      <c r="H22" s="17"/>
      <c r="I22" s="17"/>
      <c r="J22" s="17">
        <v>2</v>
      </c>
      <c r="K22" s="17"/>
      <c r="L22" s="17">
        <f t="shared" si="2"/>
        <v>5</v>
      </c>
    </row>
    <row r="23" ht="18.5" spans="1:12">
      <c r="A23" s="20"/>
      <c r="B23" s="16" t="s">
        <v>65</v>
      </c>
      <c r="C23" s="17"/>
      <c r="D23" s="17">
        <v>1</v>
      </c>
      <c r="E23" s="17"/>
      <c r="F23" s="17"/>
      <c r="G23" s="17"/>
      <c r="H23" s="17">
        <v>1</v>
      </c>
      <c r="I23" s="17"/>
      <c r="J23" s="17"/>
      <c r="K23" s="17"/>
      <c r="L23" s="17">
        <f t="shared" si="2"/>
        <v>2</v>
      </c>
    </row>
    <row r="24" ht="18.5" spans="1:12">
      <c r="A24" s="20"/>
      <c r="B24" s="16" t="s">
        <v>66</v>
      </c>
      <c r="C24" s="17"/>
      <c r="D24" s="17">
        <v>1</v>
      </c>
      <c r="E24" s="17"/>
      <c r="F24" s="17"/>
      <c r="G24" s="17"/>
      <c r="H24" s="17"/>
      <c r="I24" s="17"/>
      <c r="J24" s="17"/>
      <c r="K24" s="17"/>
      <c r="L24" s="17">
        <f t="shared" si="2"/>
        <v>1</v>
      </c>
    </row>
    <row r="25" ht="19.25" spans="1:12">
      <c r="A25" s="27" t="s">
        <v>67</v>
      </c>
      <c r="B25" s="23"/>
      <c r="C25" s="24"/>
      <c r="D25" s="24"/>
      <c r="E25" s="24"/>
      <c r="F25" s="24"/>
      <c r="G25" s="24"/>
      <c r="H25" s="24"/>
      <c r="I25" s="24"/>
      <c r="J25" s="25"/>
      <c r="K25" s="25"/>
      <c r="L25" s="26"/>
    </row>
    <row r="26" ht="18.5" spans="1:12">
      <c r="A26" s="20" t="s">
        <v>68</v>
      </c>
      <c r="B26" s="16" t="s">
        <v>68</v>
      </c>
      <c r="C26" s="17"/>
      <c r="D26" s="17"/>
      <c r="E26" s="17"/>
      <c r="F26" s="17"/>
      <c r="G26" s="17"/>
      <c r="H26" s="17"/>
      <c r="I26" s="17"/>
      <c r="J26" s="21"/>
      <c r="K26" s="21"/>
      <c r="L26" s="17">
        <f t="shared" ref="L26:L27" si="3">SUM(C26:K26)</f>
        <v>0</v>
      </c>
    </row>
    <row r="27" ht="18.5" spans="1:12">
      <c r="A27" s="20"/>
      <c r="B27" s="16" t="s">
        <v>69</v>
      </c>
      <c r="C27" s="17"/>
      <c r="D27" s="17">
        <v>1</v>
      </c>
      <c r="E27" s="17"/>
      <c r="F27" s="17"/>
      <c r="G27" s="17"/>
      <c r="H27" s="17"/>
      <c r="I27" s="17"/>
      <c r="J27" s="17"/>
      <c r="K27" s="17"/>
      <c r="L27" s="17">
        <f t="shared" si="3"/>
        <v>1</v>
      </c>
    </row>
    <row r="28" ht="19.25" spans="1:12">
      <c r="A28" s="27" t="s">
        <v>70</v>
      </c>
      <c r="B28" s="23"/>
      <c r="C28" s="24"/>
      <c r="D28" s="24"/>
      <c r="E28" s="24"/>
      <c r="F28" s="24"/>
      <c r="G28" s="24"/>
      <c r="H28" s="24"/>
      <c r="I28" s="24"/>
      <c r="J28" s="25"/>
      <c r="K28" s="25"/>
      <c r="L28" s="26"/>
    </row>
    <row r="29" spans="1:12">
      <c r="A29" s="28" t="s">
        <v>71</v>
      </c>
      <c r="B29" s="19" t="s">
        <v>72</v>
      </c>
      <c r="C29" s="17"/>
      <c r="D29" s="17"/>
      <c r="E29" s="17"/>
      <c r="F29" s="17"/>
      <c r="G29" s="17"/>
      <c r="H29" s="17"/>
      <c r="I29" s="17"/>
      <c r="J29" s="17">
        <v>2</v>
      </c>
      <c r="K29" s="17"/>
      <c r="L29" s="17">
        <f t="shared" ref="L29:L37" si="4">SUM(C29:K29)</f>
        <v>2</v>
      </c>
    </row>
    <row r="30" spans="1:12">
      <c r="A30" s="29"/>
      <c r="B30" s="16" t="s">
        <v>74</v>
      </c>
      <c r="C30" s="17"/>
      <c r="D30" s="17">
        <v>1</v>
      </c>
      <c r="E30" s="17"/>
      <c r="F30" s="17"/>
      <c r="G30" s="17"/>
      <c r="H30" s="17"/>
      <c r="I30" s="17"/>
      <c r="J30" s="17"/>
      <c r="K30" s="17"/>
      <c r="L30" s="17">
        <f t="shared" si="4"/>
        <v>1</v>
      </c>
    </row>
    <row r="31" spans="1:12">
      <c r="A31" s="29"/>
      <c r="B31" s="16" t="s">
        <v>75</v>
      </c>
      <c r="C31" s="17"/>
      <c r="D31" s="17"/>
      <c r="E31" s="17"/>
      <c r="F31" s="17"/>
      <c r="G31" s="17"/>
      <c r="H31" s="17"/>
      <c r="I31" s="17"/>
      <c r="J31" s="17"/>
      <c r="K31" s="17"/>
      <c r="L31" s="17">
        <f t="shared" si="4"/>
        <v>0</v>
      </c>
    </row>
    <row r="32" ht="18.5" spans="1:12">
      <c r="A32" s="20"/>
      <c r="B32" s="16" t="s">
        <v>76</v>
      </c>
      <c r="C32" s="17"/>
      <c r="D32" s="17"/>
      <c r="E32" s="17"/>
      <c r="F32" s="17"/>
      <c r="G32" s="17"/>
      <c r="H32" s="17"/>
      <c r="I32" s="17"/>
      <c r="J32" s="21"/>
      <c r="K32" s="21"/>
      <c r="L32" s="17">
        <f t="shared" si="4"/>
        <v>0</v>
      </c>
    </row>
    <row r="33" ht="18.5" spans="1:12">
      <c r="A33" s="20"/>
      <c r="B33" s="16" t="s">
        <v>77</v>
      </c>
      <c r="C33" s="17"/>
      <c r="D33" s="17"/>
      <c r="E33" s="17"/>
      <c r="F33" s="17"/>
      <c r="G33" s="17"/>
      <c r="H33" s="17"/>
      <c r="I33" s="17"/>
      <c r="J33" s="17"/>
      <c r="K33" s="17"/>
      <c r="L33" s="17">
        <f t="shared" si="4"/>
        <v>0</v>
      </c>
    </row>
    <row r="34" ht="18.5" spans="1:12">
      <c r="A34" s="20"/>
      <c r="B34" s="16" t="s">
        <v>78</v>
      </c>
      <c r="C34" s="17"/>
      <c r="D34" s="17">
        <v>1</v>
      </c>
      <c r="E34" s="17"/>
      <c r="F34" s="17"/>
      <c r="G34" s="17"/>
      <c r="H34" s="17"/>
      <c r="I34" s="17"/>
      <c r="J34" s="17"/>
      <c r="K34" s="17"/>
      <c r="L34" s="17">
        <f t="shared" si="4"/>
        <v>1</v>
      </c>
    </row>
    <row r="35" ht="18.5" spans="1:12">
      <c r="A35" s="20"/>
      <c r="B35" s="16" t="s">
        <v>79</v>
      </c>
      <c r="C35" s="17"/>
      <c r="D35" s="17"/>
      <c r="E35" s="17"/>
      <c r="F35" s="17"/>
      <c r="G35" s="17"/>
      <c r="H35" s="17"/>
      <c r="I35" s="17"/>
      <c r="J35" s="21"/>
      <c r="K35" s="21"/>
      <c r="L35" s="17">
        <f t="shared" si="4"/>
        <v>0</v>
      </c>
    </row>
    <row r="36" ht="18.5" spans="1:12">
      <c r="A36" s="20"/>
      <c r="B36" s="16" t="s">
        <v>80</v>
      </c>
      <c r="C36" s="17"/>
      <c r="D36" s="17"/>
      <c r="E36" s="17"/>
      <c r="F36" s="17"/>
      <c r="G36" s="17"/>
      <c r="H36" s="17"/>
      <c r="I36" s="17"/>
      <c r="J36" s="21"/>
      <c r="K36" s="21"/>
      <c r="L36" s="17">
        <f t="shared" si="4"/>
        <v>0</v>
      </c>
    </row>
    <row r="37" ht="18.5" spans="1:12">
      <c r="A37" s="20"/>
      <c r="B37" s="16" t="s">
        <v>81</v>
      </c>
      <c r="C37" s="17"/>
      <c r="D37" s="17"/>
      <c r="E37" s="17"/>
      <c r="F37" s="17"/>
      <c r="G37" s="17"/>
      <c r="H37" s="17"/>
      <c r="I37" s="17"/>
      <c r="J37" s="17"/>
      <c r="K37" s="17"/>
      <c r="L37" s="17">
        <f t="shared" si="4"/>
        <v>0</v>
      </c>
    </row>
    <row r="38" ht="19.25" spans="1:12">
      <c r="A38" s="27"/>
      <c r="B38" s="23"/>
      <c r="C38" s="24"/>
      <c r="D38" s="24"/>
      <c r="E38" s="24"/>
      <c r="F38" s="24"/>
      <c r="G38" s="24"/>
      <c r="H38" s="24"/>
      <c r="I38" s="24"/>
      <c r="J38" s="25"/>
      <c r="K38" s="25"/>
      <c r="L38" s="26"/>
    </row>
    <row r="39" spans="1:12">
      <c r="A39" s="15"/>
      <c r="B39" s="30" t="s">
        <v>82</v>
      </c>
      <c r="C39" s="17"/>
      <c r="D39" s="17">
        <v>2</v>
      </c>
      <c r="E39" s="17"/>
      <c r="F39" s="17"/>
      <c r="G39" s="17"/>
      <c r="H39" s="17">
        <v>1</v>
      </c>
      <c r="I39" s="17"/>
      <c r="J39" s="17">
        <v>1</v>
      </c>
      <c r="K39" s="17"/>
      <c r="L39" s="17">
        <f t="shared" ref="L39:L53" si="5">SUM(C39:K39)</f>
        <v>4</v>
      </c>
    </row>
    <row r="40" spans="1:12">
      <c r="A40" s="15"/>
      <c r="B40" s="16" t="s">
        <v>83</v>
      </c>
      <c r="C40" s="17"/>
      <c r="D40" s="17">
        <v>2</v>
      </c>
      <c r="E40" s="17"/>
      <c r="F40" s="17"/>
      <c r="G40" s="17"/>
      <c r="H40" s="17"/>
      <c r="I40" s="17"/>
      <c r="J40" s="17">
        <v>2</v>
      </c>
      <c r="K40" s="17"/>
      <c r="L40" s="17">
        <f t="shared" si="5"/>
        <v>4</v>
      </c>
    </row>
    <row r="41" spans="1:12">
      <c r="A41" s="15"/>
      <c r="B41" s="16" t="s">
        <v>84</v>
      </c>
      <c r="C41" s="17"/>
      <c r="D41" s="17">
        <v>2</v>
      </c>
      <c r="E41" s="17"/>
      <c r="F41" s="17"/>
      <c r="G41" s="17"/>
      <c r="H41" s="17">
        <v>2</v>
      </c>
      <c r="I41" s="17"/>
      <c r="J41" s="17"/>
      <c r="K41" s="17">
        <v>1</v>
      </c>
      <c r="L41" s="17">
        <f t="shared" si="5"/>
        <v>5</v>
      </c>
    </row>
    <row r="42" spans="1:12">
      <c r="A42" s="15"/>
      <c r="B42" s="16" t="s">
        <v>85</v>
      </c>
      <c r="C42" s="17"/>
      <c r="D42" s="17">
        <v>4</v>
      </c>
      <c r="E42" s="17"/>
      <c r="F42" s="17"/>
      <c r="G42" s="17"/>
      <c r="H42" s="17"/>
      <c r="I42" s="17"/>
      <c r="J42" s="17"/>
      <c r="K42" s="17"/>
      <c r="L42" s="17">
        <f t="shared" si="5"/>
        <v>4</v>
      </c>
    </row>
    <row r="43" spans="1:12">
      <c r="A43" s="15"/>
      <c r="B43" s="16" t="s">
        <v>86</v>
      </c>
      <c r="C43" s="17"/>
      <c r="D43" s="17">
        <v>3</v>
      </c>
      <c r="E43" s="17"/>
      <c r="F43" s="17"/>
      <c r="G43" s="17"/>
      <c r="H43" s="17"/>
      <c r="I43" s="17"/>
      <c r="J43" s="17">
        <v>4</v>
      </c>
      <c r="K43" s="17"/>
      <c r="L43" s="17">
        <f t="shared" si="5"/>
        <v>7</v>
      </c>
    </row>
    <row r="44" ht="15.25" spans="1:12">
      <c r="A44" s="15"/>
      <c r="B44" s="16" t="s">
        <v>87</v>
      </c>
      <c r="C44" s="17"/>
      <c r="D44" s="17">
        <v>2</v>
      </c>
      <c r="E44" s="17"/>
      <c r="F44" s="17"/>
      <c r="G44" s="17"/>
      <c r="H44" s="17"/>
      <c r="I44" s="17"/>
      <c r="J44" s="17"/>
      <c r="K44" s="17"/>
      <c r="L44" s="17">
        <f t="shared" si="5"/>
        <v>2</v>
      </c>
    </row>
    <row r="45" spans="1:12">
      <c r="A45" s="31" t="s">
        <v>88</v>
      </c>
      <c r="B45" s="19" t="s">
        <v>89</v>
      </c>
      <c r="C45" s="32"/>
      <c r="D45" s="32"/>
      <c r="E45" s="32"/>
      <c r="F45" s="32"/>
      <c r="G45" s="32"/>
      <c r="H45" s="32"/>
      <c r="I45" s="32"/>
      <c r="J45" s="33"/>
      <c r="K45" s="33"/>
      <c r="L45" s="17">
        <f t="shared" si="5"/>
        <v>0</v>
      </c>
    </row>
    <row r="46" spans="1:12">
      <c r="A46" s="34"/>
      <c r="B46" s="16" t="s">
        <v>90</v>
      </c>
      <c r="C46" s="17"/>
      <c r="D46" s="17"/>
      <c r="E46" s="17"/>
      <c r="F46" s="17"/>
      <c r="G46" s="17"/>
      <c r="H46" s="17"/>
      <c r="I46" s="17"/>
      <c r="J46" s="17"/>
      <c r="K46" s="17"/>
      <c r="L46" s="17">
        <f t="shared" si="5"/>
        <v>0</v>
      </c>
    </row>
    <row r="47" spans="1:12">
      <c r="A47" s="34"/>
      <c r="B47" s="16" t="s">
        <v>91</v>
      </c>
      <c r="C47" s="17"/>
      <c r="D47" s="17">
        <v>2</v>
      </c>
      <c r="E47" s="17"/>
      <c r="F47" s="17"/>
      <c r="G47" s="17"/>
      <c r="H47" s="17"/>
      <c r="I47" s="17"/>
      <c r="J47" s="17"/>
      <c r="K47" s="17"/>
      <c r="L47" s="17">
        <f t="shared" si="5"/>
        <v>2</v>
      </c>
    </row>
    <row r="48" spans="1:12">
      <c r="A48" s="34"/>
      <c r="B48" s="16" t="s">
        <v>92</v>
      </c>
      <c r="C48" s="17"/>
      <c r="D48" s="17"/>
      <c r="E48" s="17"/>
      <c r="F48" s="17"/>
      <c r="G48" s="17"/>
      <c r="H48" s="17"/>
      <c r="I48" s="17"/>
      <c r="J48" s="17"/>
      <c r="K48" s="17"/>
      <c r="L48" s="17">
        <f t="shared" si="5"/>
        <v>0</v>
      </c>
    </row>
    <row r="49" ht="21" spans="1:12">
      <c r="A49" s="35"/>
      <c r="B49" s="16" t="s">
        <v>93</v>
      </c>
      <c r="C49" s="17"/>
      <c r="D49" s="17"/>
      <c r="E49" s="17"/>
      <c r="F49" s="17"/>
      <c r="G49" s="17"/>
      <c r="H49" s="17"/>
      <c r="I49" s="17"/>
      <c r="J49" s="21"/>
      <c r="K49" s="21"/>
      <c r="L49" s="17">
        <f t="shared" si="5"/>
        <v>0</v>
      </c>
    </row>
    <row r="50" ht="21" spans="1:12">
      <c r="A50" s="35"/>
      <c r="B50" s="16" t="s">
        <v>94</v>
      </c>
      <c r="C50" s="17"/>
      <c r="D50" s="17"/>
      <c r="E50" s="17"/>
      <c r="F50" s="17"/>
      <c r="G50" s="17"/>
      <c r="H50" s="17"/>
      <c r="I50" s="17"/>
      <c r="J50" s="21"/>
      <c r="K50" s="21"/>
      <c r="L50" s="17">
        <f t="shared" si="5"/>
        <v>0</v>
      </c>
    </row>
    <row r="51" ht="21" spans="1:12">
      <c r="A51" s="35"/>
      <c r="B51" s="16" t="s">
        <v>95</v>
      </c>
      <c r="C51" s="17"/>
      <c r="D51" s="17">
        <v>1</v>
      </c>
      <c r="E51" s="17"/>
      <c r="F51" s="17"/>
      <c r="G51" s="17"/>
      <c r="H51" s="17"/>
      <c r="I51" s="17"/>
      <c r="J51" s="17"/>
      <c r="K51" s="17"/>
      <c r="L51" s="17">
        <f t="shared" si="5"/>
        <v>1</v>
      </c>
    </row>
    <row r="52" ht="21" spans="1:12">
      <c r="A52" s="35"/>
      <c r="B52" s="16" t="s">
        <v>96</v>
      </c>
      <c r="C52" s="17"/>
      <c r="D52" s="17">
        <v>3</v>
      </c>
      <c r="E52" s="17"/>
      <c r="F52" s="17"/>
      <c r="G52" s="17"/>
      <c r="H52" s="17"/>
      <c r="I52" s="17"/>
      <c r="J52" s="17">
        <v>1</v>
      </c>
      <c r="K52" s="17"/>
      <c r="L52" s="17">
        <f t="shared" si="5"/>
        <v>4</v>
      </c>
    </row>
    <row r="53" ht="21" spans="1:12">
      <c r="A53" s="35"/>
      <c r="B53" s="16" t="s">
        <v>97</v>
      </c>
      <c r="C53" s="17"/>
      <c r="D53" s="17"/>
      <c r="E53" s="17"/>
      <c r="F53" s="17"/>
      <c r="G53" s="17"/>
      <c r="H53" s="17"/>
      <c r="I53" s="17"/>
      <c r="J53" s="17"/>
      <c r="K53" s="17"/>
      <c r="L53" s="17">
        <f t="shared" si="5"/>
        <v>0</v>
      </c>
    </row>
    <row r="54" ht="19.25" spans="1:12">
      <c r="A54" s="27" t="s">
        <v>98</v>
      </c>
      <c r="B54" s="23"/>
      <c r="C54" s="24"/>
      <c r="D54" s="24"/>
      <c r="E54" s="24"/>
      <c r="F54" s="24"/>
      <c r="G54" s="24"/>
      <c r="H54" s="24"/>
      <c r="I54" s="24"/>
      <c r="J54" s="25"/>
      <c r="K54" s="25"/>
      <c r="L54" s="26"/>
    </row>
    <row r="55" ht="18.5" spans="1:12">
      <c r="A55" s="36" t="s">
        <v>99</v>
      </c>
      <c r="B55" s="19" t="s">
        <v>100</v>
      </c>
      <c r="C55" s="17"/>
      <c r="D55" s="17">
        <v>5</v>
      </c>
      <c r="E55" s="17"/>
      <c r="F55" s="17"/>
      <c r="G55" s="17"/>
      <c r="H55" s="17"/>
      <c r="I55" s="17"/>
      <c r="J55" s="17">
        <v>2</v>
      </c>
      <c r="K55" s="17"/>
      <c r="L55" s="17">
        <f t="shared" ref="L55:L57" si="6">SUM(C55:K55)</f>
        <v>7</v>
      </c>
    </row>
    <row r="56" ht="18.5" spans="1:12">
      <c r="A56" s="37"/>
      <c r="B56" s="16" t="s">
        <v>101</v>
      </c>
      <c r="C56" s="17"/>
      <c r="D56" s="17"/>
      <c r="E56" s="17"/>
      <c r="F56" s="17"/>
      <c r="G56" s="17"/>
      <c r="H56" s="17"/>
      <c r="I56" s="17"/>
      <c r="J56" s="17"/>
      <c r="K56" s="17"/>
      <c r="L56" s="17">
        <f t="shared" si="6"/>
        <v>0</v>
      </c>
    </row>
    <row r="57" ht="18.5" spans="1:12">
      <c r="A57" s="37"/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>
        <f t="shared" si="6"/>
        <v>0</v>
      </c>
    </row>
    <row r="58" ht="19.25" spans="1:12">
      <c r="A58" s="22" t="s">
        <v>103</v>
      </c>
      <c r="B58" s="23"/>
      <c r="C58" s="24"/>
      <c r="D58" s="24"/>
      <c r="E58" s="24"/>
      <c r="F58" s="24"/>
      <c r="G58" s="24"/>
      <c r="H58" s="24"/>
      <c r="I58" s="24"/>
      <c r="J58" s="25"/>
      <c r="K58" s="25"/>
      <c r="L58" s="26"/>
    </row>
    <row r="59" ht="19.25" spans="1:12">
      <c r="A59" s="20" t="s">
        <v>104</v>
      </c>
      <c r="B59" s="38" t="s">
        <v>105</v>
      </c>
      <c r="C59" s="17"/>
      <c r="D59" s="17">
        <v>1</v>
      </c>
      <c r="E59" s="17"/>
      <c r="F59" s="17"/>
      <c r="G59" s="17"/>
      <c r="H59" s="17"/>
      <c r="I59" s="17"/>
      <c r="J59" s="17">
        <v>2</v>
      </c>
      <c r="K59" s="17"/>
      <c r="L59" s="17">
        <f t="shared" ref="L59:L61" si="7">SUM(C59:K59)</f>
        <v>3</v>
      </c>
    </row>
    <row r="60" ht="15.5" spans="1:12">
      <c r="A60" s="39" t="s">
        <v>106</v>
      </c>
      <c r="B60" s="19" t="s">
        <v>107</v>
      </c>
      <c r="C60" s="17"/>
      <c r="D60" s="17"/>
      <c r="E60" s="17"/>
      <c r="F60" s="17"/>
      <c r="G60" s="17"/>
      <c r="H60" s="17"/>
      <c r="I60" s="17"/>
      <c r="J60" s="17"/>
      <c r="K60" s="17"/>
      <c r="L60" s="17">
        <f t="shared" si="7"/>
        <v>0</v>
      </c>
    </row>
    <row r="61" ht="15.5" spans="1:12">
      <c r="A61" s="40"/>
      <c r="B61" s="16" t="s">
        <v>108</v>
      </c>
      <c r="C61" s="17"/>
      <c r="D61" s="17">
        <v>1</v>
      </c>
      <c r="E61" s="17"/>
      <c r="F61" s="17"/>
      <c r="G61" s="17"/>
      <c r="H61" s="17"/>
      <c r="I61" s="17"/>
      <c r="J61" s="17"/>
      <c r="K61" s="17"/>
      <c r="L61" s="17">
        <f t="shared" si="7"/>
        <v>1</v>
      </c>
    </row>
    <row r="62" ht="19.25" spans="1:12">
      <c r="A62" s="27" t="s">
        <v>109</v>
      </c>
      <c r="B62" s="23"/>
      <c r="C62" s="24"/>
      <c r="D62" s="24"/>
      <c r="E62" s="24"/>
      <c r="F62" s="24"/>
      <c r="G62" s="24"/>
      <c r="H62" s="24"/>
      <c r="I62" s="24"/>
      <c r="J62" s="25"/>
      <c r="K62" s="25"/>
      <c r="L62" s="26"/>
    </row>
    <row r="63" ht="15.25" spans="1:12">
      <c r="A63" s="15"/>
      <c r="B63" s="30" t="s">
        <v>110</v>
      </c>
      <c r="C63" s="17"/>
      <c r="D63" s="17">
        <v>3</v>
      </c>
      <c r="E63" s="17"/>
      <c r="F63" s="17"/>
      <c r="G63" s="17"/>
      <c r="H63" s="17"/>
      <c r="I63" s="17"/>
      <c r="J63" s="17"/>
      <c r="K63" s="17"/>
      <c r="L63" s="17">
        <f t="shared" ref="L63:L65" si="8">SUM(C63:K63)</f>
        <v>3</v>
      </c>
    </row>
    <row r="64" ht="18.5" spans="1:12">
      <c r="A64" s="18" t="s">
        <v>111</v>
      </c>
      <c r="B64" s="19" t="s">
        <v>111</v>
      </c>
      <c r="C64" s="17"/>
      <c r="D64" s="17">
        <v>33</v>
      </c>
      <c r="E64" s="17"/>
      <c r="F64" s="17"/>
      <c r="G64" s="17"/>
      <c r="H64" s="17">
        <v>12</v>
      </c>
      <c r="I64" s="17"/>
      <c r="J64" s="17">
        <v>5</v>
      </c>
      <c r="K64" s="17">
        <v>1</v>
      </c>
      <c r="L64" s="17">
        <f t="shared" si="8"/>
        <v>51</v>
      </c>
    </row>
    <row r="65" ht="18.5" spans="1:12">
      <c r="A65" s="20"/>
      <c r="B65" s="16" t="s">
        <v>112</v>
      </c>
      <c r="C65" s="17"/>
      <c r="D65" s="17">
        <v>2</v>
      </c>
      <c r="E65" s="17"/>
      <c r="F65" s="17"/>
      <c r="G65" s="17"/>
      <c r="H65" s="17"/>
      <c r="I65" s="17"/>
      <c r="J65" s="17">
        <v>2</v>
      </c>
      <c r="K65" s="17"/>
      <c r="L65" s="17">
        <f t="shared" si="8"/>
        <v>4</v>
      </c>
    </row>
    <row r="66" ht="19.25" spans="1:12">
      <c r="A66" s="27" t="s">
        <v>113</v>
      </c>
      <c r="B66" s="23"/>
      <c r="C66" s="24"/>
      <c r="D66" s="24"/>
      <c r="E66" s="24"/>
      <c r="F66" s="24"/>
      <c r="G66" s="24"/>
      <c r="H66" s="24"/>
      <c r="I66" s="24"/>
      <c r="J66" s="25"/>
      <c r="K66" s="25"/>
      <c r="L66" s="26"/>
    </row>
    <row r="67" ht="15.25" spans="1:12">
      <c r="A67" s="15"/>
      <c r="B67" s="30" t="s">
        <v>114</v>
      </c>
      <c r="C67" s="17"/>
      <c r="D67" s="17"/>
      <c r="E67" s="17"/>
      <c r="F67" s="17">
        <v>1</v>
      </c>
      <c r="G67" s="17">
        <v>1</v>
      </c>
      <c r="H67" s="17"/>
      <c r="I67" s="17"/>
      <c r="J67" s="17">
        <v>1</v>
      </c>
      <c r="K67" s="17">
        <v>1</v>
      </c>
      <c r="L67" s="17">
        <f t="shared" ref="L67:L73" si="9">SUM(C67:K67)</f>
        <v>4</v>
      </c>
    </row>
    <row r="68" ht="18.5" spans="1:12">
      <c r="A68" s="18" t="s">
        <v>115</v>
      </c>
      <c r="B68" s="19" t="s">
        <v>116</v>
      </c>
      <c r="C68" s="17"/>
      <c r="D68" s="17">
        <v>11</v>
      </c>
      <c r="E68" s="17"/>
      <c r="F68" s="17"/>
      <c r="G68" s="17"/>
      <c r="H68" s="17">
        <v>1</v>
      </c>
      <c r="I68" s="17"/>
      <c r="J68" s="17">
        <v>6</v>
      </c>
      <c r="K68" s="17"/>
      <c r="L68" s="17">
        <f t="shared" si="9"/>
        <v>18</v>
      </c>
    </row>
    <row r="69" ht="18.5" spans="1:12">
      <c r="A69" s="20"/>
      <c r="B69" s="16" t="s">
        <v>117</v>
      </c>
      <c r="C69" s="17"/>
      <c r="D69" s="17">
        <v>1</v>
      </c>
      <c r="E69" s="17"/>
      <c r="F69" s="17"/>
      <c r="G69" s="17"/>
      <c r="H69" s="17"/>
      <c r="I69" s="17"/>
      <c r="J69" s="17"/>
      <c r="K69" s="17"/>
      <c r="L69" s="17">
        <f t="shared" si="9"/>
        <v>1</v>
      </c>
    </row>
    <row r="70" ht="18.5" spans="1:12">
      <c r="A70" s="20"/>
      <c r="B70" s="16" t="s">
        <v>118</v>
      </c>
      <c r="C70" s="17"/>
      <c r="D70" s="17">
        <v>1</v>
      </c>
      <c r="E70" s="17"/>
      <c r="F70" s="17"/>
      <c r="G70" s="17"/>
      <c r="H70" s="17"/>
      <c r="I70" s="17"/>
      <c r="J70" s="17"/>
      <c r="K70" s="17"/>
      <c r="L70" s="17">
        <f t="shared" si="9"/>
        <v>1</v>
      </c>
    </row>
    <row r="71" ht="18.5" spans="1:12">
      <c r="A71" s="20"/>
      <c r="B71" s="16" t="s">
        <v>119</v>
      </c>
      <c r="C71" s="17"/>
      <c r="D71" s="17"/>
      <c r="E71" s="17"/>
      <c r="F71" s="17"/>
      <c r="G71" s="17"/>
      <c r="H71" s="17"/>
      <c r="I71" s="17"/>
      <c r="J71" s="21"/>
      <c r="K71" s="21"/>
      <c r="L71" s="17">
        <f t="shared" si="9"/>
        <v>0</v>
      </c>
    </row>
    <row r="72" ht="18.5" spans="1:12">
      <c r="A72" s="20"/>
      <c r="B72" s="16" t="s">
        <v>120</v>
      </c>
      <c r="C72" s="17"/>
      <c r="D72" s="17"/>
      <c r="E72" s="17"/>
      <c r="F72" s="17"/>
      <c r="G72" s="17"/>
      <c r="H72" s="17"/>
      <c r="I72" s="17"/>
      <c r="J72" s="21"/>
      <c r="K72" s="21"/>
      <c r="L72" s="17">
        <f t="shared" si="9"/>
        <v>0</v>
      </c>
    </row>
    <row r="73" ht="18.5" spans="1:12">
      <c r="A73" s="20"/>
      <c r="B73" s="16" t="s">
        <v>121</v>
      </c>
      <c r="C73" s="17"/>
      <c r="D73" s="17">
        <v>1</v>
      </c>
      <c r="E73" s="17"/>
      <c r="F73" s="17"/>
      <c r="G73" s="17"/>
      <c r="H73" s="17"/>
      <c r="I73" s="17"/>
      <c r="J73" s="17"/>
      <c r="K73" s="17"/>
      <c r="L73" s="17">
        <f t="shared" si="9"/>
        <v>1</v>
      </c>
    </row>
    <row r="74" ht="19.25" spans="1:12">
      <c r="A74" s="27" t="s">
        <v>122</v>
      </c>
      <c r="B74" s="23"/>
      <c r="C74" s="24"/>
      <c r="D74" s="24"/>
      <c r="E74" s="24"/>
      <c r="F74" s="24"/>
      <c r="G74" s="24"/>
      <c r="H74" s="24"/>
      <c r="I74" s="24"/>
      <c r="J74" s="25"/>
      <c r="K74" s="25"/>
      <c r="L74" s="26"/>
    </row>
    <row r="75" spans="1:12">
      <c r="A75" s="15"/>
      <c r="B75" s="30" t="s">
        <v>123</v>
      </c>
      <c r="C75" s="17"/>
      <c r="D75" s="17">
        <v>6</v>
      </c>
      <c r="E75" s="17"/>
      <c r="F75" s="17"/>
      <c r="G75" s="17"/>
      <c r="H75" s="17"/>
      <c r="I75" s="17"/>
      <c r="J75" s="17">
        <v>1</v>
      </c>
      <c r="K75" s="17"/>
      <c r="L75" s="17">
        <f t="shared" ref="L75:L82" si="10">SUM(C75:K75)</f>
        <v>7</v>
      </c>
    </row>
    <row r="76" spans="1:12">
      <c r="A76" s="15"/>
      <c r="B76" s="16" t="s">
        <v>124</v>
      </c>
      <c r="C76" s="17"/>
      <c r="D76" s="17">
        <v>1</v>
      </c>
      <c r="E76" s="17"/>
      <c r="F76" s="17"/>
      <c r="G76" s="17"/>
      <c r="H76" s="17">
        <v>2</v>
      </c>
      <c r="I76" s="17"/>
      <c r="J76" s="17">
        <v>4</v>
      </c>
      <c r="K76" s="17"/>
      <c r="L76" s="17">
        <f t="shared" si="10"/>
        <v>7</v>
      </c>
    </row>
    <row r="77" spans="1:12">
      <c r="A77" s="15"/>
      <c r="B77" s="16" t="s">
        <v>125</v>
      </c>
      <c r="C77" s="17"/>
      <c r="D77" s="17">
        <v>5</v>
      </c>
      <c r="E77" s="17"/>
      <c r="F77" s="17"/>
      <c r="G77" s="17"/>
      <c r="H77" s="17">
        <v>1</v>
      </c>
      <c r="I77" s="17"/>
      <c r="J77" s="17">
        <v>1</v>
      </c>
      <c r="K77" s="17"/>
      <c r="L77" s="17">
        <f t="shared" si="10"/>
        <v>7</v>
      </c>
    </row>
    <row r="78" spans="1:12">
      <c r="A78" s="15"/>
      <c r="B78" s="16" t="s">
        <v>126</v>
      </c>
      <c r="C78" s="17"/>
      <c r="D78" s="17">
        <v>4</v>
      </c>
      <c r="E78" s="17"/>
      <c r="F78" s="17"/>
      <c r="G78" s="17"/>
      <c r="H78" s="17">
        <v>2</v>
      </c>
      <c r="I78" s="17"/>
      <c r="J78" s="17"/>
      <c r="K78" s="17"/>
      <c r="L78" s="17">
        <f t="shared" si="10"/>
        <v>6</v>
      </c>
    </row>
    <row r="79" spans="1:12">
      <c r="A79" s="15"/>
      <c r="B79" s="16" t="s">
        <v>127</v>
      </c>
      <c r="C79" s="17"/>
      <c r="D79" s="17">
        <v>4</v>
      </c>
      <c r="E79" s="17"/>
      <c r="F79" s="17"/>
      <c r="G79" s="17"/>
      <c r="H79" s="17"/>
      <c r="I79" s="17"/>
      <c r="J79" s="17">
        <v>1</v>
      </c>
      <c r="K79" s="17"/>
      <c r="L79" s="17">
        <f t="shared" si="10"/>
        <v>5</v>
      </c>
    </row>
    <row r="80" ht="15.25" spans="1:12">
      <c r="A80" s="15"/>
      <c r="B80" s="16" t="s">
        <v>128</v>
      </c>
      <c r="C80" s="17"/>
      <c r="D80" s="17">
        <v>14</v>
      </c>
      <c r="E80" s="17"/>
      <c r="F80" s="17"/>
      <c r="G80" s="17"/>
      <c r="H80" s="17"/>
      <c r="I80" s="17"/>
      <c r="J80" s="17">
        <v>2</v>
      </c>
      <c r="K80" s="17"/>
      <c r="L80" s="17">
        <f t="shared" si="10"/>
        <v>16</v>
      </c>
    </row>
    <row r="81" ht="18.5" spans="1:12">
      <c r="A81" s="18" t="s">
        <v>129</v>
      </c>
      <c r="B81" s="19" t="s">
        <v>129</v>
      </c>
      <c r="C81" s="17"/>
      <c r="D81" s="17">
        <v>38</v>
      </c>
      <c r="E81" s="17"/>
      <c r="F81" s="17"/>
      <c r="G81" s="17"/>
      <c r="H81" s="17"/>
      <c r="I81" s="17"/>
      <c r="J81" s="17">
        <v>8</v>
      </c>
      <c r="K81" s="17"/>
      <c r="L81" s="17">
        <f t="shared" si="10"/>
        <v>46</v>
      </c>
    </row>
    <row r="82" ht="18.5" spans="1:12">
      <c r="A82" s="20"/>
      <c r="B82" s="16" t="s">
        <v>131</v>
      </c>
      <c r="C82" s="17"/>
      <c r="D82" s="17">
        <v>3</v>
      </c>
      <c r="E82" s="17"/>
      <c r="F82" s="17"/>
      <c r="G82" s="17"/>
      <c r="H82" s="17">
        <v>1</v>
      </c>
      <c r="I82" s="17"/>
      <c r="J82" s="17"/>
      <c r="K82" s="17"/>
      <c r="L82" s="17">
        <f t="shared" si="10"/>
        <v>4</v>
      </c>
    </row>
    <row r="83" ht="19.25" spans="1:12">
      <c r="A83" s="27" t="s">
        <v>132</v>
      </c>
      <c r="B83" s="23"/>
      <c r="C83" s="24"/>
      <c r="D83" s="24"/>
      <c r="E83" s="24"/>
      <c r="F83" s="24"/>
      <c r="G83" s="24"/>
      <c r="H83" s="24"/>
      <c r="I83" s="24"/>
      <c r="J83" s="25"/>
      <c r="K83" s="25"/>
      <c r="L83" s="26"/>
    </row>
    <row r="84" spans="1:12">
      <c r="A84" s="15"/>
      <c r="B84" s="16" t="s">
        <v>133</v>
      </c>
      <c r="C84" s="17"/>
      <c r="D84" s="17">
        <v>3</v>
      </c>
      <c r="E84" s="17"/>
      <c r="F84" s="17"/>
      <c r="G84" s="17"/>
      <c r="H84" s="17">
        <v>1</v>
      </c>
      <c r="I84" s="17"/>
      <c r="J84" s="17"/>
      <c r="K84" s="17"/>
      <c r="L84" s="17">
        <f t="shared" ref="L84:L89" si="11">SUM(C84:K84)</f>
        <v>4</v>
      </c>
    </row>
    <row r="85" spans="1:12">
      <c r="A85" s="15"/>
      <c r="B85" s="16" t="s">
        <v>134</v>
      </c>
      <c r="C85" s="17"/>
      <c r="D85" s="17">
        <v>18</v>
      </c>
      <c r="E85" s="17"/>
      <c r="F85" s="17"/>
      <c r="G85" s="17"/>
      <c r="H85" s="17">
        <v>6</v>
      </c>
      <c r="I85" s="17"/>
      <c r="J85" s="17">
        <v>8</v>
      </c>
      <c r="K85" s="17">
        <v>1</v>
      </c>
      <c r="L85" s="17">
        <f t="shared" si="11"/>
        <v>33</v>
      </c>
    </row>
    <row r="86" ht="15.25" spans="1:12">
      <c r="A86" s="15"/>
      <c r="B86" s="16" t="s">
        <v>135</v>
      </c>
      <c r="C86" s="17"/>
      <c r="D86" s="17">
        <v>1</v>
      </c>
      <c r="E86" s="17"/>
      <c r="F86" s="17"/>
      <c r="G86" s="17"/>
      <c r="H86" s="17">
        <v>2</v>
      </c>
      <c r="I86" s="17"/>
      <c r="J86" s="17"/>
      <c r="K86" s="17"/>
      <c r="L86" s="17">
        <f t="shared" si="11"/>
        <v>3</v>
      </c>
    </row>
    <row r="87" ht="18.5" spans="1:12">
      <c r="A87" s="18" t="s">
        <v>136</v>
      </c>
      <c r="B87" s="19" t="s">
        <v>137</v>
      </c>
      <c r="C87" s="17"/>
      <c r="D87" s="17">
        <v>6</v>
      </c>
      <c r="E87" s="17"/>
      <c r="F87" s="17"/>
      <c r="G87" s="17"/>
      <c r="H87" s="17"/>
      <c r="I87" s="17"/>
      <c r="J87" s="17"/>
      <c r="K87" s="17"/>
      <c r="L87" s="17">
        <f t="shared" si="11"/>
        <v>6</v>
      </c>
    </row>
    <row r="88" ht="18.5" spans="1:12">
      <c r="A88" s="20"/>
      <c r="B88" s="16" t="s">
        <v>138</v>
      </c>
      <c r="C88" s="17"/>
      <c r="D88" s="17">
        <v>2</v>
      </c>
      <c r="E88" s="17"/>
      <c r="F88" s="17"/>
      <c r="G88" s="17"/>
      <c r="H88" s="17">
        <v>1</v>
      </c>
      <c r="I88" s="17"/>
      <c r="J88" s="17">
        <v>1</v>
      </c>
      <c r="K88" s="17"/>
      <c r="L88" s="17">
        <f t="shared" si="11"/>
        <v>4</v>
      </c>
    </row>
    <row r="89" ht="18.5" spans="1:12">
      <c r="A89" s="20"/>
      <c r="B89" s="16" t="s">
        <v>139</v>
      </c>
      <c r="C89" s="17"/>
      <c r="D89" s="17">
        <v>3</v>
      </c>
      <c r="E89" s="17"/>
      <c r="F89" s="17"/>
      <c r="G89" s="17"/>
      <c r="H89" s="17"/>
      <c r="I89" s="17"/>
      <c r="J89" s="17"/>
      <c r="K89" s="17"/>
      <c r="L89" s="17">
        <f t="shared" si="11"/>
        <v>3</v>
      </c>
    </row>
    <row r="90" ht="19.25" spans="1:12">
      <c r="A90" s="22" t="s">
        <v>140</v>
      </c>
      <c r="B90" s="23"/>
      <c r="C90" s="24"/>
      <c r="D90" s="24"/>
      <c r="E90" s="24"/>
      <c r="F90" s="24"/>
      <c r="G90" s="24"/>
      <c r="H90" s="24"/>
      <c r="I90" s="24"/>
      <c r="J90" s="25"/>
      <c r="K90" s="25"/>
      <c r="L90" s="26"/>
    </row>
    <row r="91" spans="1:12">
      <c r="A91" s="15"/>
      <c r="B91" s="30" t="s">
        <v>141</v>
      </c>
      <c r="C91" s="17"/>
      <c r="D91" s="17">
        <v>1</v>
      </c>
      <c r="E91" s="17"/>
      <c r="F91" s="17"/>
      <c r="G91" s="17"/>
      <c r="H91" s="17"/>
      <c r="I91" s="17"/>
      <c r="J91" s="17">
        <v>1</v>
      </c>
      <c r="K91" s="17"/>
      <c r="L91" s="17">
        <f t="shared" ref="L91:L100" si="12">SUM(C91:K91)</f>
        <v>2</v>
      </c>
    </row>
    <row r="92" spans="1:12">
      <c r="A92" s="15"/>
      <c r="B92" s="16" t="s">
        <v>142</v>
      </c>
      <c r="C92" s="17"/>
      <c r="D92" s="17">
        <v>2</v>
      </c>
      <c r="E92" s="17"/>
      <c r="F92" s="17"/>
      <c r="G92" s="17"/>
      <c r="H92" s="17"/>
      <c r="I92" s="17"/>
      <c r="J92" s="17">
        <v>1</v>
      </c>
      <c r="K92" s="17"/>
      <c r="L92" s="17">
        <f t="shared" si="12"/>
        <v>3</v>
      </c>
    </row>
    <row r="93" spans="1:12">
      <c r="A93" s="15"/>
      <c r="B93" s="16" t="s">
        <v>143</v>
      </c>
      <c r="C93" s="17"/>
      <c r="D93" s="17">
        <v>2</v>
      </c>
      <c r="E93" s="17"/>
      <c r="F93" s="17"/>
      <c r="G93" s="17"/>
      <c r="H93" s="17"/>
      <c r="I93" s="17"/>
      <c r="J93" s="17"/>
      <c r="K93" s="17"/>
      <c r="L93" s="17">
        <f t="shared" si="12"/>
        <v>2</v>
      </c>
    </row>
    <row r="94" spans="1:12">
      <c r="A94" s="15"/>
      <c r="B94" s="16" t="s">
        <v>144</v>
      </c>
      <c r="C94" s="17"/>
      <c r="D94" s="17">
        <v>2</v>
      </c>
      <c r="E94" s="17"/>
      <c r="F94" s="17"/>
      <c r="G94" s="17"/>
      <c r="H94" s="17">
        <v>3</v>
      </c>
      <c r="I94" s="17"/>
      <c r="J94" s="17"/>
      <c r="K94" s="17"/>
      <c r="L94" s="17">
        <f t="shared" si="12"/>
        <v>5</v>
      </c>
    </row>
    <row r="95" spans="1:12">
      <c r="A95" s="15"/>
      <c r="B95" s="16" t="s">
        <v>145</v>
      </c>
      <c r="C95" s="17"/>
      <c r="D95" s="17"/>
      <c r="E95" s="17"/>
      <c r="F95" s="17"/>
      <c r="G95" s="17"/>
      <c r="H95" s="17"/>
      <c r="I95" s="17"/>
      <c r="J95" s="17"/>
      <c r="K95" s="17"/>
      <c r="L95" s="17">
        <f t="shared" si="12"/>
        <v>0</v>
      </c>
    </row>
    <row r="96" spans="1:12">
      <c r="A96" s="15"/>
      <c r="B96" s="16" t="s">
        <v>146</v>
      </c>
      <c r="C96" s="17"/>
      <c r="D96" s="17">
        <v>4</v>
      </c>
      <c r="E96" s="17"/>
      <c r="F96" s="17"/>
      <c r="G96" s="17"/>
      <c r="H96" s="17"/>
      <c r="I96" s="17"/>
      <c r="J96" s="17">
        <v>9</v>
      </c>
      <c r="K96" s="17"/>
      <c r="L96" s="17">
        <f t="shared" si="12"/>
        <v>13</v>
      </c>
    </row>
    <row r="97" ht="15.25" spans="1:12">
      <c r="A97" s="15"/>
      <c r="B97" s="16" t="s">
        <v>147</v>
      </c>
      <c r="C97" s="17"/>
      <c r="D97" s="17">
        <v>5</v>
      </c>
      <c r="E97" s="17"/>
      <c r="F97" s="17"/>
      <c r="G97" s="17"/>
      <c r="H97" s="17"/>
      <c r="I97" s="17"/>
      <c r="J97" s="17">
        <v>13</v>
      </c>
      <c r="K97" s="17"/>
      <c r="L97" s="17">
        <f t="shared" si="12"/>
        <v>18</v>
      </c>
    </row>
    <row r="98" ht="18.5" spans="1:12">
      <c r="A98" s="36" t="s">
        <v>148</v>
      </c>
      <c r="B98" s="19" t="s">
        <v>149</v>
      </c>
      <c r="C98" s="17"/>
      <c r="D98" s="17">
        <v>18</v>
      </c>
      <c r="E98" s="17"/>
      <c r="F98" s="17"/>
      <c r="G98" s="17"/>
      <c r="H98" s="17"/>
      <c r="I98" s="17"/>
      <c r="J98" s="17">
        <v>8</v>
      </c>
      <c r="K98" s="17"/>
      <c r="L98" s="17">
        <f t="shared" si="12"/>
        <v>26</v>
      </c>
    </row>
    <row r="99" ht="18.5" spans="1:12">
      <c r="A99" s="37"/>
      <c r="B99" s="16" t="s">
        <v>150</v>
      </c>
      <c r="C99" s="17"/>
      <c r="D99" s="17">
        <v>1</v>
      </c>
      <c r="E99" s="17"/>
      <c r="F99" s="17"/>
      <c r="G99" s="17"/>
      <c r="H99" s="17"/>
      <c r="I99" s="17"/>
      <c r="J99" s="17">
        <v>1</v>
      </c>
      <c r="K99" s="17"/>
      <c r="L99" s="17">
        <f t="shared" si="12"/>
        <v>2</v>
      </c>
    </row>
    <row r="100" ht="18.5" spans="1:12">
      <c r="A100" s="37"/>
      <c r="B100" s="16" t="s">
        <v>151</v>
      </c>
      <c r="C100" s="17"/>
      <c r="D100" s="17">
        <v>1</v>
      </c>
      <c r="E100" s="17"/>
      <c r="F100" s="17"/>
      <c r="G100" s="17"/>
      <c r="H100" s="17"/>
      <c r="I100" s="17"/>
      <c r="J100" s="17"/>
      <c r="K100" s="17"/>
      <c r="L100" s="17">
        <f t="shared" si="12"/>
        <v>1</v>
      </c>
    </row>
    <row r="101" ht="19.25" spans="1:12">
      <c r="A101" s="27" t="s">
        <v>152</v>
      </c>
      <c r="B101" s="23"/>
      <c r="C101" s="24"/>
      <c r="D101" s="24"/>
      <c r="E101" s="24"/>
      <c r="F101" s="24"/>
      <c r="G101" s="24"/>
      <c r="H101" s="24"/>
      <c r="I101" s="24"/>
      <c r="J101" s="25"/>
      <c r="K101" s="25"/>
      <c r="L101" s="26"/>
    </row>
    <row r="102" ht="18.5" spans="1:12">
      <c r="A102" s="18" t="s">
        <v>153</v>
      </c>
      <c r="B102" s="30" t="s">
        <v>153</v>
      </c>
      <c r="C102" s="17"/>
      <c r="D102" s="17">
        <v>1</v>
      </c>
      <c r="E102" s="17"/>
      <c r="F102" s="17"/>
      <c r="G102" s="17"/>
      <c r="H102" s="17"/>
      <c r="I102" s="17"/>
      <c r="J102" s="17">
        <v>2</v>
      </c>
      <c r="K102" s="17"/>
      <c r="L102" s="17">
        <f t="shared" ref="L102:L103" si="13">SUM(C102:K102)</f>
        <v>3</v>
      </c>
    </row>
    <row r="103" ht="18.5" spans="1:12">
      <c r="A103" s="20"/>
      <c r="B103" s="16" t="s">
        <v>154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>
        <f t="shared" si="13"/>
        <v>0</v>
      </c>
    </row>
    <row r="104" ht="19.25" spans="1:12">
      <c r="A104" s="27" t="s">
        <v>155</v>
      </c>
      <c r="B104" s="23"/>
      <c r="C104" s="24"/>
      <c r="D104" s="24"/>
      <c r="E104" s="24"/>
      <c r="F104" s="24"/>
      <c r="G104" s="24"/>
      <c r="H104" s="24"/>
      <c r="I104" s="24"/>
      <c r="J104" s="25"/>
      <c r="K104" s="25"/>
      <c r="L104" s="26"/>
    </row>
    <row r="105" ht="18.5" spans="1:12">
      <c r="A105" s="18" t="s">
        <v>156</v>
      </c>
      <c r="B105" s="19" t="s">
        <v>157</v>
      </c>
      <c r="C105" s="17"/>
      <c r="D105" s="17">
        <v>2</v>
      </c>
      <c r="E105" s="17"/>
      <c r="F105" s="17"/>
      <c r="G105" s="17"/>
      <c r="H105" s="17"/>
      <c r="I105" s="17"/>
      <c r="J105" s="17"/>
      <c r="K105" s="17"/>
      <c r="L105" s="17">
        <f t="shared" ref="L105:L106" si="14">SUM(C105:K105)</f>
        <v>2</v>
      </c>
    </row>
    <row r="106" ht="18.5" spans="1:12">
      <c r="A106" s="20"/>
      <c r="B106" s="16" t="s">
        <v>158</v>
      </c>
      <c r="C106" s="17"/>
      <c r="D106" s="17"/>
      <c r="E106" s="17"/>
      <c r="F106" s="17"/>
      <c r="G106" s="17"/>
      <c r="H106" s="17"/>
      <c r="I106" s="17"/>
      <c r="J106" s="17">
        <v>1</v>
      </c>
      <c r="K106" s="17"/>
      <c r="L106" s="17">
        <f t="shared" si="14"/>
        <v>1</v>
      </c>
    </row>
    <row r="107" ht="19.25" spans="1:12">
      <c r="A107" s="27" t="s">
        <v>159</v>
      </c>
      <c r="B107" s="23"/>
      <c r="C107" s="24"/>
      <c r="D107" s="24"/>
      <c r="E107" s="24"/>
      <c r="F107" s="24"/>
      <c r="G107" s="24"/>
      <c r="H107" s="24"/>
      <c r="I107" s="24"/>
      <c r="J107" s="25"/>
      <c r="K107" s="25"/>
      <c r="L107" s="26"/>
    </row>
    <row r="108" ht="18.5" spans="1:12">
      <c r="A108" s="18" t="s">
        <v>160</v>
      </c>
      <c r="B108" s="30" t="s">
        <v>161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>
        <f t="shared" ref="L108:L110" si="15">SUM(C108:K108)</f>
        <v>0</v>
      </c>
    </row>
    <row r="109" ht="18.5" spans="1:12">
      <c r="A109" s="20"/>
      <c r="B109" s="30" t="s">
        <v>162</v>
      </c>
      <c r="C109" s="17"/>
      <c r="D109" s="17">
        <v>3</v>
      </c>
      <c r="E109" s="17"/>
      <c r="F109" s="17"/>
      <c r="G109" s="17"/>
      <c r="H109" s="17"/>
      <c r="I109" s="17"/>
      <c r="J109" s="17"/>
      <c r="K109" s="17"/>
      <c r="L109" s="17">
        <f t="shared" si="15"/>
        <v>3</v>
      </c>
    </row>
    <row r="110" ht="18.5" spans="1:12">
      <c r="A110" s="20"/>
      <c r="B110" s="16" t="s">
        <v>163</v>
      </c>
      <c r="C110" s="17"/>
      <c r="D110" s="17">
        <v>2</v>
      </c>
      <c r="E110" s="17"/>
      <c r="F110" s="17"/>
      <c r="G110" s="17"/>
      <c r="H110" s="17"/>
      <c r="I110" s="17"/>
      <c r="J110" s="17"/>
      <c r="K110" s="17"/>
      <c r="L110" s="17">
        <f t="shared" si="15"/>
        <v>2</v>
      </c>
    </row>
    <row r="111" ht="19.25" spans="1:12">
      <c r="A111" s="27" t="s">
        <v>164</v>
      </c>
      <c r="B111" s="23"/>
      <c r="C111" s="24"/>
      <c r="D111" s="24"/>
      <c r="E111" s="24"/>
      <c r="F111" s="24"/>
      <c r="G111" s="24"/>
      <c r="H111" s="24"/>
      <c r="I111" s="24"/>
      <c r="J111" s="25"/>
      <c r="K111" s="25"/>
      <c r="L111" s="26"/>
    </row>
    <row r="112" ht="18.5" spans="1:12">
      <c r="A112" s="20"/>
      <c r="B112" s="38" t="s">
        <v>165</v>
      </c>
      <c r="C112" s="17"/>
      <c r="D112" s="17"/>
      <c r="E112" s="17"/>
      <c r="F112" s="17"/>
      <c r="G112" s="17"/>
      <c r="H112" s="17"/>
      <c r="I112" s="17"/>
      <c r="J112" s="17"/>
      <c r="K112" s="17">
        <v>2</v>
      </c>
      <c r="L112" s="17">
        <f t="shared" ref="L112:L119" si="16">SUM(C112:K112)</f>
        <v>2</v>
      </c>
    </row>
    <row r="113" spans="1:12">
      <c r="A113" s="15"/>
      <c r="B113" s="16" t="s">
        <v>166</v>
      </c>
      <c r="C113" s="17"/>
      <c r="D113" s="17">
        <v>3</v>
      </c>
      <c r="E113" s="17">
        <v>1</v>
      </c>
      <c r="F113" s="17"/>
      <c r="G113" s="17"/>
      <c r="H113" s="17"/>
      <c r="I113" s="17"/>
      <c r="J113" s="17"/>
      <c r="K113" s="17"/>
      <c r="L113" s="17">
        <f t="shared" si="16"/>
        <v>4</v>
      </c>
    </row>
    <row r="114" ht="15.25" spans="1:12">
      <c r="A114" s="15"/>
      <c r="B114" s="41" t="s">
        <v>167</v>
      </c>
      <c r="C114" s="17"/>
      <c r="D114" s="17">
        <v>2</v>
      </c>
      <c r="E114" s="17"/>
      <c r="F114" s="17"/>
      <c r="G114" s="17"/>
      <c r="H114" s="17"/>
      <c r="I114" s="17"/>
      <c r="J114" s="17">
        <v>6</v>
      </c>
      <c r="K114" s="17"/>
      <c r="L114" s="17">
        <f t="shared" si="16"/>
        <v>8</v>
      </c>
    </row>
    <row r="115" spans="1:12">
      <c r="A115" s="42" t="s">
        <v>168</v>
      </c>
      <c r="B115" s="43" t="s">
        <v>169</v>
      </c>
      <c r="C115" s="17"/>
      <c r="D115" s="17"/>
      <c r="E115" s="17"/>
      <c r="F115" s="17"/>
      <c r="G115" s="17"/>
      <c r="H115" s="17"/>
      <c r="I115" s="17">
        <v>7</v>
      </c>
      <c r="J115" s="17"/>
      <c r="K115" s="17"/>
      <c r="L115" s="17">
        <f t="shared" si="16"/>
        <v>7</v>
      </c>
    </row>
    <row r="116" spans="1:12">
      <c r="A116" s="44"/>
      <c r="B116" s="45" t="s">
        <v>170</v>
      </c>
      <c r="C116" s="17"/>
      <c r="D116" s="17"/>
      <c r="E116" s="17"/>
      <c r="F116" s="17"/>
      <c r="G116" s="17"/>
      <c r="H116" s="17"/>
      <c r="I116" s="17"/>
      <c r="J116" s="21"/>
      <c r="K116" s="21"/>
      <c r="L116" s="17">
        <f t="shared" si="16"/>
        <v>0</v>
      </c>
    </row>
    <row r="117" spans="1:12">
      <c r="A117" s="44"/>
      <c r="B117" s="45" t="s">
        <v>171</v>
      </c>
      <c r="C117" s="17"/>
      <c r="D117" s="17"/>
      <c r="E117" s="17"/>
      <c r="F117" s="17"/>
      <c r="G117" s="17"/>
      <c r="H117" s="17"/>
      <c r="I117" s="17"/>
      <c r="J117" s="17">
        <v>15</v>
      </c>
      <c r="K117" s="17"/>
      <c r="L117" s="17">
        <f t="shared" si="16"/>
        <v>15</v>
      </c>
    </row>
    <row r="118" spans="1:12">
      <c r="A118" s="44"/>
      <c r="B118" s="45" t="s">
        <v>172</v>
      </c>
      <c r="C118" s="17"/>
      <c r="D118" s="17"/>
      <c r="E118" s="17"/>
      <c r="F118" s="17"/>
      <c r="G118" s="17"/>
      <c r="H118" s="17"/>
      <c r="I118" s="17"/>
      <c r="J118" s="21"/>
      <c r="K118" s="21"/>
      <c r="L118" s="17">
        <f t="shared" si="16"/>
        <v>0</v>
      </c>
    </row>
    <row r="119" spans="1:12">
      <c r="A119" s="46"/>
      <c r="B119" s="45" t="s">
        <v>173</v>
      </c>
      <c r="C119" s="17"/>
      <c r="D119" s="17"/>
      <c r="E119" s="17"/>
      <c r="F119" s="17"/>
      <c r="G119" s="17"/>
      <c r="H119" s="17"/>
      <c r="I119" s="17"/>
      <c r="J119" s="21"/>
      <c r="K119" s="21"/>
      <c r="L119" s="17">
        <f t="shared" si="16"/>
        <v>0</v>
      </c>
    </row>
    <row r="120" ht="19.25" spans="1:12">
      <c r="A120" s="27" t="s">
        <v>174</v>
      </c>
      <c r="B120" s="23"/>
      <c r="C120" s="24"/>
      <c r="D120" s="24"/>
      <c r="E120" s="24"/>
      <c r="F120" s="24"/>
      <c r="G120" s="24"/>
      <c r="H120" s="24"/>
      <c r="I120" s="24"/>
      <c r="J120" s="25"/>
      <c r="K120" s="25"/>
      <c r="L120" s="26"/>
    </row>
    <row r="121" spans="1:12">
      <c r="A121" s="16" t="s">
        <v>175</v>
      </c>
      <c r="B121" s="16" t="s">
        <v>176</v>
      </c>
      <c r="C121" s="17"/>
      <c r="D121" s="17"/>
      <c r="E121" s="17"/>
      <c r="F121" s="17"/>
      <c r="G121" s="17"/>
      <c r="H121" s="17"/>
      <c r="I121" s="17"/>
      <c r="J121" s="21"/>
      <c r="K121" s="21"/>
      <c r="L121" s="17">
        <f t="shared" ref="L121:L123" si="17">SUM(C121:K121)</f>
        <v>0</v>
      </c>
    </row>
    <row r="122" spans="1:12">
      <c r="A122" s="15"/>
      <c r="B122" s="41" t="s">
        <v>177</v>
      </c>
      <c r="C122" s="47"/>
      <c r="D122" s="47"/>
      <c r="E122" s="47"/>
      <c r="F122" s="47"/>
      <c r="G122" s="47"/>
      <c r="H122" s="47"/>
      <c r="I122" s="47"/>
      <c r="J122" s="48"/>
      <c r="K122" s="48"/>
      <c r="L122" s="17">
        <f t="shared" si="17"/>
        <v>0</v>
      </c>
    </row>
    <row r="123" ht="18.5" spans="1:12">
      <c r="A123" s="49"/>
      <c r="B123" s="50" t="s">
        <v>178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17">
        <f t="shared" si="17"/>
        <v>0</v>
      </c>
    </row>
    <row r="124" ht="19.25" spans="1:12">
      <c r="A124" s="52"/>
      <c r="B124" s="53" t="s">
        <v>11</v>
      </c>
      <c r="C124" s="54">
        <f t="shared" ref="C124:L124" si="18">SUM(C5:C123)</f>
        <v>3</v>
      </c>
      <c r="D124" s="54">
        <f t="shared" si="18"/>
        <v>300</v>
      </c>
      <c r="E124" s="54">
        <f t="shared" si="18"/>
        <v>1</v>
      </c>
      <c r="F124" s="54">
        <f t="shared" si="18"/>
        <v>1</v>
      </c>
      <c r="G124" s="54">
        <f t="shared" si="18"/>
        <v>1</v>
      </c>
      <c r="H124" s="54">
        <f t="shared" si="18"/>
        <v>40</v>
      </c>
      <c r="I124" s="54">
        <f t="shared" si="18"/>
        <v>7</v>
      </c>
      <c r="J124" s="55">
        <f t="shared" si="18"/>
        <v>126</v>
      </c>
      <c r="K124" s="55">
        <f t="shared" si="18"/>
        <v>7</v>
      </c>
      <c r="L124" s="56">
        <f t="shared" si="18"/>
        <v>486</v>
      </c>
    </row>
    <row r="125" spans="1:12">
      <c r="C125" s="57">
        <v>3</v>
      </c>
      <c r="D125" s="57">
        <v>300</v>
      </c>
      <c r="E125" s="57">
        <v>1</v>
      </c>
      <c r="F125" s="57">
        <v>1</v>
      </c>
      <c r="G125" s="57">
        <v>1</v>
      </c>
      <c r="H125" s="57">
        <v>40</v>
      </c>
      <c r="I125" s="57">
        <v>7</v>
      </c>
      <c r="J125" s="57">
        <v>139</v>
      </c>
      <c r="K125" s="57">
        <v>7</v>
      </c>
      <c r="L125" s="57">
        <f>SUM(C125:K125)</f>
        <v>499</v>
      </c>
    </row>
  </sheetData>
  <mergeCells count="4">
    <mergeCell ref="A1:L1"/>
    <mergeCell ref="A29:A31"/>
    <mergeCell ref="A45:A48"/>
    <mergeCell ref="A115:A1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PC DETAILS</vt:lpstr>
      <vt:lpstr>PRINTER DETAIL</vt:lpstr>
      <vt:lpstr>MFD DETAIL</vt:lpstr>
      <vt:lpstr>SCANNER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 DUTTA</dc:creator>
  <cp:lastModifiedBy>KIIT0001</cp:lastModifiedBy>
  <dcterms:created xsi:type="dcterms:W3CDTF">2015-06-05T18:17:00Z</dcterms:created>
  <cp:lastPrinted>2026-04-17T05:55:00Z</cp:lastPrinted>
  <dcterms:modified xsi:type="dcterms:W3CDTF">2026-06-07T17:03:22Z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CA6D051AEAA34B7DBC1996B7ADA65949_12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